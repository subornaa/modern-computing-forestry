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ReadMe" sheetId="2" state="visible" r:id="rId4"/>
    <sheet name="Data" sheetId="3" state="visible" r:id="rId5"/>
    <sheet name="Ex1_Inspect" sheetId="4" state="visible" r:id="rId6"/>
    <sheet name="Ex2_Identify" sheetId="5" state="visible" r:id="rId7"/>
    <sheet name="Ex3_Formulas" sheetId="6" state="visible" r:id="rId8"/>
    <sheet name="Ex4_Verify" sheetId="7" state="visible" r:id="rId9"/>
    <sheet name="Ex5_Folders" sheetId="8" state="visible" r:id="rId10"/>
    <sheet name="GroupLab" sheetId="9" state="visible" r:id="rId11"/>
  </sheets>
  <definedNames>
    <definedName function="false" hidden="true" localSheetId="2" name="_xlnm._FilterDatabase" vbProcedure="false">Data!$A$1:$H$38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<sst xmlns="http://schemas.openxmlformats.org/spreadsheetml/2006/main" count="171" uniqueCount="135">
  <si>
    <t xml:space="preserve">Chapter 1 — Learner Exercises</t>
  </si>
  <si>
    <t xml:space="preserve">Work through each sheet. Yellow cells are where you fill in answers.</t>
  </si>
  <si>
    <t xml:space="preserve">Dataset</t>
  </si>
  <si>
    <t xml:space="preserve">Indicator Summary Data: Trends in Silviculture in B.C. — Change in Disturbance and Reforestation</t>
  </si>
  <si>
    <t xml:space="preserve">Publisher</t>
  </si>
  <si>
    <t xml:space="preserve">Resource Practices Branch, Ministry of Forests, Government of British Columbia (Environmental Reporting BC)</t>
  </si>
  <si>
    <t xml:space="preserve">Source</t>
  </si>
  <si>
    <t xml:space="preserve">BC Government / BC Data Catalogue</t>
  </si>
  <si>
    <t xml:space="preserve">Source URL</t>
  </si>
  <si>
    <t xml:space="preserve">https://catalogue.data.gov.bc.ca/dataset/indicator-summary-data-trends-in-silviculture-in-b-c-</t>
  </si>
  <si>
    <t xml:space="preserve">Background</t>
  </si>
  <si>
    <t xml:space="preserve">https://www.env.gov.bc.ca/soe/indicators/land/silviculture.html</t>
  </si>
  <si>
    <t xml:space="preserve">Licence</t>
  </si>
  <si>
    <t xml:space="preserve">Open Government Licence — British Columbia</t>
  </si>
  <si>
    <t xml:space="preserve">Rows of data</t>
  </si>
  <si>
    <t xml:space="preserve">37 (one row per fiscal year, 1987–2023)</t>
  </si>
  <si>
    <t xml:space="preserve">Columns</t>
  </si>
  <si>
    <t xml:space="preserve">8 numeric / integer columns</t>
  </si>
  <si>
    <t xml:space="preserve">Units</t>
  </si>
  <si>
    <t xml:space="preserve">Hectares (ha) for every numeric column except Fiscal_Year</t>
  </si>
  <si>
    <t xml:space="preserve">Fiscal year</t>
  </si>
  <si>
    <t xml:space="preserve">BC fiscal years run April 1 to March 31 of the following calendar year. Named by the starting year.</t>
  </si>
  <si>
    <t xml:space="preserve">Cite as</t>
  </si>
  <si>
    <t xml:space="preserve">Environmental Reporting BC. Trends in Silviculture in B.C. Ministry of Environment and Parks, Government of British Columbia.</t>
  </si>
  <si>
    <t xml:space="preserve">Retrieved</t>
  </si>
  <si>
    <t xml:space="preserve">2026-05-24</t>
  </si>
  <si>
    <t xml:space="preserve">Adapted for</t>
  </si>
  <si>
    <t xml:space="preserve">FRST 232 — Computer Applications in Forestry (UBC), Chapter 1 of the OER book</t>
  </si>
  <si>
    <t xml:space="preserve">How to use this file</t>
  </si>
  <si>
    <t xml:space="preserve">Open each numbered exercise sheet. Cells with a yellow background are where you fill in answers or formulas. The Data sheet contains the same 37 rows as the raw file — do not edit it; use it as a reference.</t>
  </si>
  <si>
    <t xml:space="preserve">Variable Dictionary</t>
  </si>
  <si>
    <t xml:space="preserve">One row per variable. Read this before you start any analysis.</t>
  </si>
  <si>
    <t xml:space="preserve">Variable</t>
  </si>
  <si>
    <t xml:space="preserve">Description</t>
  </si>
  <si>
    <t xml:space="preserve">Unit</t>
  </si>
  <si>
    <t xml:space="preserve">Type</t>
  </si>
  <si>
    <t xml:space="preserve">Notes</t>
  </si>
  <si>
    <t xml:space="preserve">Fiscal_Year</t>
  </si>
  <si>
    <t xml:space="preserve">Fiscal year of the row. April 1 to March 31 of the next calendar year.</t>
  </si>
  <si>
    <t xml:space="preserve">year (integer)</t>
  </si>
  <si>
    <t xml:space="preserve">number</t>
  </si>
  <si>
    <t xml:space="preserve">Integer between 1987 and 2023.</t>
  </si>
  <si>
    <t xml:space="preserve">Clearcutting_ha</t>
  </si>
  <si>
    <t xml:space="preserve">Area harvested using the clearcutting silvicultural system.</t>
  </si>
  <si>
    <t xml:space="preserve">hectares</t>
  </si>
  <si>
    <t xml:space="preserve">Most of BC's harvest historically. Declines after the mid-1990s as clearcutting-with-reserves grows.</t>
  </si>
  <si>
    <t xml:space="preserve">Clearcutting_with_reserves_ha</t>
  </si>
  <si>
    <t xml:space="preserve">Area harvested using clearcutting with reserves — some trees retained for wildlife, visual, or hydrological values.</t>
  </si>
  <si>
    <t xml:space="preserve">Near-zero in the late 1980s. Increases sharply through the 1990s and 2000s due to BC silvicultural policy changes.</t>
  </si>
  <si>
    <t xml:space="preserve">Partial_cutting_ha</t>
  </si>
  <si>
    <t xml:space="preserve">Area harvested using partial cutting silvicultural systems.</t>
  </si>
  <si>
    <t xml:space="preserve">Smaller share of total harvest. Used where ecological or visual constraints favour retention.</t>
  </si>
  <si>
    <t xml:space="preserve">Harvested_ha</t>
  </si>
  <si>
    <t xml:space="preserve">Total area harvested = sum of the three harvest types above.</t>
  </si>
  <si>
    <t xml:space="preserve">Should equal Clearcutting_ha + Clearcutting_with_reserves_ha + Partial_cutting_ha for every row.</t>
  </si>
  <si>
    <t xml:space="preserve">Natural_Disturbance_ha</t>
  </si>
  <si>
    <t xml:space="preserve">Area disturbed by natural causes (wildfire, pest, wind) tracked for reforestation.</t>
  </si>
  <si>
    <t xml:space="preserve">Note the 2017 spike (218,275 ha) — BC's record-breaking wildfire season.</t>
  </si>
  <si>
    <t xml:space="preserve">Total_Disturbance_ha</t>
  </si>
  <si>
    <t xml:space="preserve">Sum of harvested area + natural disturbance area.</t>
  </si>
  <si>
    <t xml:space="preserve">Should equal Harvested_ha + Natural_Disturbance_ha for every row.</t>
  </si>
  <si>
    <t xml:space="preserve">Reforestation_ha</t>
  </si>
  <si>
    <t xml:space="preserve">Area planted or naturally regenerated in that fiscal year.</t>
  </si>
  <si>
    <t xml:space="preserve">Includes both human planting and natural regeneration.</t>
  </si>
  <si>
    <t xml:space="preserve">Exercise 1 — Inspect the workbook</t>
  </si>
  <si>
    <t xml:space="preserve">Read About and ReadMe first. Then answer these questions about the Data sheet.</t>
  </si>
  <si>
    <t xml:space="preserve">Question</t>
  </si>
  <si>
    <t xml:space="preserve">Your answer</t>
  </si>
  <si>
    <t xml:space="preserve">Hint</t>
  </si>
  <si>
    <t xml:space="preserve">How many rows of data are there (excluding header)?</t>
  </si>
  <si>
    <t xml:space="preserve">Look at the Data sheet. You can scroll, or read it from the About sheet.</t>
  </si>
  <si>
    <t xml:space="preserve">How many columns are there?</t>
  </si>
  <si>
    <t xml:space="preserve">Count the column headers on row 1 of the Data sheet.</t>
  </si>
  <si>
    <t xml:space="preserve">What is the earliest fiscal year?</t>
  </si>
  <si>
    <t xml:space="preserve">Sort the Fiscal_Year column or scan it.</t>
  </si>
  <si>
    <t xml:space="preserve">What is the latest fiscal year?</t>
  </si>
  <si>
    <t xml:space="preserve">Same column. Look at the last row.</t>
  </si>
  <si>
    <t xml:space="preserve">What is the unit of every numeric column except Fiscal_Year?</t>
  </si>
  <si>
    <t xml:space="preserve">Check the ReadMe sheet.</t>
  </si>
  <si>
    <t xml:space="preserve">Where does this dataset come from?</t>
  </si>
  <si>
    <t xml:space="preserve">Check the About sheet. (Hint: BC ___ / BC ___ Catalogue.)</t>
  </si>
  <si>
    <t xml:space="preserve">Exercise 2 — Identify columns, units, and types</t>
  </si>
  <si>
    <t xml:space="preserve">Fill in the yellow cells. Compare your answers to the ReadMe sheet when done.</t>
  </si>
  <si>
    <t xml:space="preserve">Column name (from the Data sheet)</t>
  </si>
  <si>
    <t xml:space="preserve">What does it measure? (your own words)</t>
  </si>
  <si>
    <t xml:space="preserve">Type (number / text / date)</t>
  </si>
  <si>
    <t xml:space="preserve">Exercise 3 — Write simple formulas</t>
  </si>
  <si>
    <t xml:space="preserve">Type each formula into column C. Column D will compute it.</t>
  </si>
  <si>
    <t xml:space="preserve">Task</t>
  </si>
  <si>
    <t xml:space="preserve">Expected formula pattern</t>
  </si>
  <si>
    <t xml:space="preserve">Your formula</t>
  </si>
  <si>
    <t xml:space="preserve">Result</t>
  </si>
  <si>
    <t xml:space="preserve">Total reforestation across all 37 years (Reforestation_ha)</t>
  </si>
  <si>
    <t xml:space="preserve">Mean annual total disturbance (Total_Disturbance_ha)</t>
  </si>
  <si>
    <t xml:space="preserve">Minimum natural disturbance (Natural_Disturbance_ha)</t>
  </si>
  <si>
    <t xml:space="preserve">Maximum natural disturbance (Natural_Disturbance_ha)</t>
  </si>
  <si>
    <t xml:space="preserve">Number of rows of data (Fiscal_Year column)</t>
  </si>
  <si>
    <t xml:space="preserve">Sanity check</t>
  </si>
  <si>
    <t xml:space="preserve">After you have computed mean and the extremes: does mean sit between min and max? It should. If not, recheck your formula.</t>
  </si>
  <si>
    <t xml:space="preserve">Exercise 4 — Check whether values make sense</t>
  </si>
  <si>
    <t xml:space="preserve">Verify that Total_Disturbance_ha = Harvested_ha + Natural_Disturbance_ha for every row.</t>
  </si>
  <si>
    <t xml:space="preserve">Harvested + Natural</t>
  </si>
  <si>
    <t xml:space="preserve">Difference (should be ~0)</t>
  </si>
  <si>
    <t xml:space="preserve">In each yellow cell of column B, type =Data!E&lt;row&gt; + Data!F&lt;row&gt;. For example, the first data row uses Data row 2: =Data!E2 + Data!F2</t>
  </si>
  <si>
    <t xml:space="preserve">Exercise 5 — Organize files</t>
  </si>
  <si>
    <t xml:space="preserve">Set up a clean project folder structure on your computer.</t>
  </si>
  <si>
    <t xml:space="preserve">Done? (yes/no)</t>
  </si>
  <si>
    <t xml:space="preserve">Create the project root folder `frst232/`.</t>
  </si>
  <si>
    <t xml:space="preserve">Use lowercase, snake_case names.</t>
  </si>
  <si>
    <t xml:space="preserve">Inside it, create `chapter01/` with subfolders `data/`, `outputs/`, `notes/`, `deliverables/`.</t>
  </si>
  <si>
    <t xml:space="preserve">Place the raw workbook `bc_disturbance_reforestation.xlsx` in `chapter01/data/`.</t>
  </si>
  <si>
    <t xml:space="preserve">Do NOT edit this file in place.</t>
  </si>
  <si>
    <t xml:space="preserve">Save a copy as `bc_disturbance_reforestation_clean.xlsx` in `chapter01/outputs/`.</t>
  </si>
  <si>
    <t xml:space="preserve">This is the version you may modify.</t>
  </si>
  <si>
    <t xml:space="preserve">Take a screenshot of your folder structure and submit it as your deliverable.</t>
  </si>
  <si>
    <t xml:space="preserve">Save the screenshot in `chapter01/deliverables/`.</t>
  </si>
  <si>
    <t xml:space="preserve">Group lab — Inspect a real BC dataset together</t>
  </si>
  <si>
    <t xml:space="preserve">Work in groups of 3 or 4. One submission per group.</t>
  </si>
  <si>
    <t xml:space="preserve">Group's answer / formula</t>
  </si>
  <si>
    <t xml:space="preserve">Group members (names):</t>
  </si>
  <si>
    <t xml:space="preserve">List everyone in the group.</t>
  </si>
  <si>
    <t xml:space="preserve">Task 1 — Where does this file come from?</t>
  </si>
  <si>
    <t xml:space="preserve">Read the About sheet.</t>
  </si>
  <si>
    <t xml:space="preserve">Task 1 — How many rows are in the Data sheet?</t>
  </si>
  <si>
    <t xml:space="preserve">Task 2 — Pick column A. Write your own one-sentence description.</t>
  </si>
  <si>
    <t xml:space="preserve">Compare to ReadMe at the end.</t>
  </si>
  <si>
    <t xml:space="preserve">Task 2 — Pick column B. Write your own one-sentence description.</t>
  </si>
  <si>
    <t xml:space="preserve">Task 3 — Choose ONE: mean Reforestation_ha, max Natural_Disturbance_ha + year, OR total Harvested_ha.</t>
  </si>
  <si>
    <t xml:space="preserve">Which did you choose? Type your formula.</t>
  </si>
  <si>
    <t xml:space="preserve">Task 3 — Result of the formula above.</t>
  </si>
  <si>
    <t xml:space="preserve">Add a sanity-check note: does the result sit within reason?</t>
  </si>
  <si>
    <t xml:space="preserve">Task 4 — Pick a row. Verify Harvested + Natural = Total.</t>
  </si>
  <si>
    <t xml:space="preserve">Type a formula like =Data!E5 + Data!F5 - Data!G5. Should be 0.</t>
  </si>
  <si>
    <t xml:space="preserve">Task 5 — Submission</t>
  </si>
  <si>
    <t xml:space="preserve">Submit a worksheet or screenshot showing this sheet completed.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</si>
</sst>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4332"/>
      <name val="Calibri"/>
      <family val="0"/>
      <charset val="1"/>
    </font>
    <font>
      <sz val="1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8F3DC"/>
        <bgColor rgb="FFCCFFFF"/>
      </patternFill>
    </fill>
    <fill>
      <patternFill patternType="solid">
        <fgColor rgb="FFFFE08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43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E08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30" hidden="false" customHeight="true" outlineLevel="0" collapsed="false">
      <c r="A3" s="3" t="s">
        <v>2</v>
      </c>
      <c r="B3" s="4" t="s">
        <v>3</v>
      </c>
      <c r="C3" s="4"/>
      <c r="D3" s="4"/>
    </row>
    <row r="4" customFormat="false" ht="30" hidden="false" customHeight="true" outlineLevel="0" collapsed="false">
      <c r="A4" s="3" t="s">
        <v>4</v>
      </c>
      <c r="B4" s="4" t="s">
        <v>5</v>
      </c>
      <c r="C4" s="4"/>
      <c r="D4" s="4"/>
    </row>
    <row r="5" customFormat="false" ht="30" hidden="false" customHeight="true" outlineLevel="0" collapsed="false">
      <c r="A5" s="3" t="s">
        <v>6</v>
      </c>
      <c r="B5" s="4" t="s">
        <v>7</v>
      </c>
      <c r="C5" s="4"/>
      <c r="D5" s="4"/>
    </row>
    <row r="6" customFormat="false" ht="30" hidden="false" customHeight="true" outlineLevel="0" collapsed="false">
      <c r="A6" s="3" t="s">
        <v>8</v>
      </c>
      <c r="B6" s="4" t="s">
        <v>9</v>
      </c>
      <c r="C6" s="4"/>
      <c r="D6" s="4"/>
    </row>
    <row r="7" customFormat="false" ht="30" hidden="false" customHeight="true" outlineLevel="0" collapsed="false">
      <c r="A7" s="3" t="s">
        <v>10</v>
      </c>
      <c r="B7" s="4" t="s">
        <v>11</v>
      </c>
      <c r="C7" s="4"/>
      <c r="D7" s="4"/>
    </row>
    <row r="8" customFormat="false" ht="30" hidden="false" customHeight="true" outlineLevel="0" collapsed="false">
      <c r="A8" s="3" t="s">
        <v>12</v>
      </c>
      <c r="B8" s="4" t="s">
        <v>13</v>
      </c>
      <c r="C8" s="4"/>
      <c r="D8" s="4"/>
    </row>
    <row r="9" customFormat="false" ht="30" hidden="false" customHeight="true" outlineLevel="0" collapsed="false">
      <c r="A9" s="3" t="s">
        <v>14</v>
      </c>
      <c r="B9" s="4" t="s">
        <v>15</v>
      </c>
      <c r="C9" s="4"/>
      <c r="D9" s="4"/>
    </row>
    <row r="10" customFormat="false" ht="30" hidden="false" customHeight="true" outlineLevel="0" collapsed="false">
      <c r="A10" s="3" t="s">
        <v>16</v>
      </c>
      <c r="B10" s="4" t="s">
        <v>17</v>
      </c>
      <c r="C10" s="4"/>
      <c r="D10" s="4"/>
    </row>
    <row r="11" customFormat="false" ht="30" hidden="false" customHeight="true" outlineLevel="0" collapsed="false">
      <c r="A11" s="3" t="s">
        <v>18</v>
      </c>
      <c r="B11" s="4" t="s">
        <v>19</v>
      </c>
      <c r="C11" s="4"/>
      <c r="D11" s="4"/>
    </row>
    <row r="12" customFormat="false" ht="30" hidden="false" customHeight="true" outlineLevel="0" collapsed="false">
      <c r="A12" s="3" t="s">
        <v>20</v>
      </c>
      <c r="B12" s="4" t="s">
        <v>21</v>
      </c>
      <c r="C12" s="4"/>
      <c r="D12" s="4"/>
    </row>
    <row r="13" customFormat="false" ht="30" hidden="false" customHeight="true" outlineLevel="0" collapsed="false">
      <c r="A13" s="3" t="s">
        <v>22</v>
      </c>
      <c r="B13" s="4" t="s">
        <v>23</v>
      </c>
      <c r="C13" s="4"/>
      <c r="D13" s="4"/>
    </row>
    <row r="14" customFormat="false" ht="30" hidden="false" customHeight="true" outlineLevel="0" collapsed="false">
      <c r="A14" s="3" t="s">
        <v>24</v>
      </c>
      <c r="B14" s="4" t="s">
        <v>25</v>
      </c>
      <c r="C14" s="4"/>
      <c r="D14" s="4"/>
    </row>
    <row r="15" customFormat="false" ht="30" hidden="false" customHeight="true" outlineLevel="0" collapsed="false">
      <c r="A15" s="3" t="s">
        <v>26</v>
      </c>
      <c r="B15" s="4" t="s">
        <v>27</v>
      </c>
      <c r="C15" s="4"/>
      <c r="D15" s="4"/>
    </row>
    <row r="17" customFormat="false" ht="30" hidden="false" customHeight="true" outlineLevel="0" collapsed="false">
      <c r="A17" s="3" t="s">
        <v>28</v>
      </c>
      <c r="B17" s="4" t="s">
        <v>29</v>
      </c>
      <c r="C17" s="4"/>
      <c r="D17" s="4"/>
    </row>
  </sheetData>
  <mergeCells count="16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</row>
    <row r="4" customFormat="false" ht="25.5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</row>
    <row r="5" customFormat="false" ht="28.35" hidden="false" customHeight="false" outlineLevel="0" collapsed="false">
      <c r="A5" s="6" t="s">
        <v>37</v>
      </c>
      <c r="B5" s="7" t="s">
        <v>38</v>
      </c>
      <c r="C5" s="7" t="s">
        <v>39</v>
      </c>
      <c r="D5" s="7" t="s">
        <v>40</v>
      </c>
      <c r="E5" s="7" t="s">
        <v>41</v>
      </c>
    </row>
    <row r="6" customFormat="false" ht="41.75" hidden="false" customHeight="false" outlineLevel="0" collapsed="false">
      <c r="A6" s="8" t="s">
        <v>42</v>
      </c>
      <c r="B6" s="9" t="s">
        <v>43</v>
      </c>
      <c r="C6" s="9" t="s">
        <v>44</v>
      </c>
      <c r="D6" s="9" t="s">
        <v>40</v>
      </c>
      <c r="E6" s="9" t="s">
        <v>45</v>
      </c>
    </row>
    <row r="7" customFormat="false" ht="41.75" hidden="false" customHeight="false" outlineLevel="0" collapsed="false">
      <c r="A7" s="6" t="s">
        <v>46</v>
      </c>
      <c r="B7" s="7" t="s">
        <v>47</v>
      </c>
      <c r="C7" s="7" t="s">
        <v>44</v>
      </c>
      <c r="D7" s="7" t="s">
        <v>40</v>
      </c>
      <c r="E7" s="7" t="s">
        <v>48</v>
      </c>
    </row>
    <row r="8" customFormat="false" ht="41.75" hidden="false" customHeight="false" outlineLevel="0" collapsed="false">
      <c r="A8" s="8" t="s">
        <v>49</v>
      </c>
      <c r="B8" s="9" t="s">
        <v>50</v>
      </c>
      <c r="C8" s="9" t="s">
        <v>44</v>
      </c>
      <c r="D8" s="9" t="s">
        <v>40</v>
      </c>
      <c r="E8" s="9" t="s">
        <v>51</v>
      </c>
    </row>
    <row r="9" customFormat="false" ht="41.75" hidden="false" customHeight="false" outlineLevel="0" collapsed="false">
      <c r="A9" s="6" t="s">
        <v>52</v>
      </c>
      <c r="B9" s="7" t="s">
        <v>53</v>
      </c>
      <c r="C9" s="7" t="s">
        <v>44</v>
      </c>
      <c r="D9" s="7" t="s">
        <v>40</v>
      </c>
      <c r="E9" s="7" t="s">
        <v>54</v>
      </c>
    </row>
    <row r="10" customFormat="false" ht="28.35" hidden="false" customHeight="false" outlineLevel="0" collapsed="false">
      <c r="A10" s="8" t="s">
        <v>55</v>
      </c>
      <c r="B10" s="9" t="s">
        <v>56</v>
      </c>
      <c r="C10" s="9" t="s">
        <v>44</v>
      </c>
      <c r="D10" s="9" t="s">
        <v>40</v>
      </c>
      <c r="E10" s="9" t="s">
        <v>57</v>
      </c>
    </row>
    <row r="11" customFormat="false" ht="28.35" hidden="false" customHeight="false" outlineLevel="0" collapsed="false">
      <c r="A11" s="6" t="s">
        <v>58</v>
      </c>
      <c r="B11" s="7" t="s">
        <v>59</v>
      </c>
      <c r="C11" s="7" t="s">
        <v>44</v>
      </c>
      <c r="D11" s="7" t="s">
        <v>40</v>
      </c>
      <c r="E11" s="7" t="s">
        <v>60</v>
      </c>
    </row>
    <row r="12" customFormat="false" ht="28.35" hidden="false" customHeight="false" outlineLevel="0" collapsed="false">
      <c r="A12" s="8" t="s">
        <v>61</v>
      </c>
      <c r="B12" s="9" t="s">
        <v>62</v>
      </c>
      <c r="C12" s="9" t="s">
        <v>44</v>
      </c>
      <c r="D12" s="9" t="s">
        <v>40</v>
      </c>
      <c r="E12" s="9" t="s">
        <v>63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24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5" t="s">
        <v>37</v>
      </c>
      <c r="B1" s="5" t="s">
        <v>42</v>
      </c>
      <c r="C1" s="5" t="s">
        <v>46</v>
      </c>
      <c r="D1" s="5" t="s">
        <v>49</v>
      </c>
      <c r="E1" s="5" t="s">
        <v>52</v>
      </c>
      <c r="F1" s="5" t="s">
        <v>55</v>
      </c>
      <c r="G1" s="5" t="s">
        <v>58</v>
      </c>
      <c r="H1" s="5" t="s">
        <v>61</v>
      </c>
    </row>
    <row r="2" customFormat="false" ht="15" hidden="false" customHeight="false" outlineLevel="0" collapsed="false">
      <c r="A2" s="10" t="n">
        <v>1987</v>
      </c>
      <c r="B2" s="11" t="n">
        <v>216304.919</v>
      </c>
      <c r="C2" s="11" t="n">
        <v>5800.4</v>
      </c>
      <c r="D2" s="11" t="n">
        <v>20076.681</v>
      </c>
      <c r="E2" s="11" t="n">
        <v>242182</v>
      </c>
      <c r="F2" s="11" t="n">
        <v>20875</v>
      </c>
      <c r="G2" s="11" t="n">
        <v>263057</v>
      </c>
      <c r="H2" s="11" t="n">
        <v>201972.5</v>
      </c>
    </row>
    <row r="3" customFormat="false" ht="15" hidden="false" customHeight="false" outlineLevel="0" collapsed="false">
      <c r="A3" s="10" t="n">
        <v>1988</v>
      </c>
      <c r="B3" s="11" t="n">
        <v>217836.074</v>
      </c>
      <c r="C3" s="11" t="n">
        <v>1842.952</v>
      </c>
      <c r="D3" s="11" t="n">
        <v>31878.294</v>
      </c>
      <c r="E3" s="11" t="n">
        <v>251557.32</v>
      </c>
      <c r="F3" s="11" t="n">
        <v>9641.2</v>
      </c>
      <c r="G3" s="11" t="n">
        <v>261198.52</v>
      </c>
      <c r="H3" s="11" t="n">
        <v>221296.29</v>
      </c>
    </row>
    <row r="4" customFormat="false" ht="15" hidden="false" customHeight="false" outlineLevel="0" collapsed="false">
      <c r="A4" s="10" t="n">
        <v>1989</v>
      </c>
      <c r="B4" s="11" t="n">
        <v>190635.52</v>
      </c>
      <c r="C4" s="11" t="n">
        <v>1456.666</v>
      </c>
      <c r="D4" s="11" t="n">
        <v>23785.954</v>
      </c>
      <c r="E4" s="11" t="n">
        <v>215878.14</v>
      </c>
      <c r="F4" s="11" t="n">
        <v>10711.8</v>
      </c>
      <c r="G4" s="11" t="n">
        <v>226589.94</v>
      </c>
      <c r="H4" s="11" t="n">
        <v>237275.91</v>
      </c>
    </row>
    <row r="5" customFormat="false" ht="15" hidden="false" customHeight="false" outlineLevel="0" collapsed="false">
      <c r="A5" s="10" t="n">
        <v>1990</v>
      </c>
      <c r="B5" s="11" t="n">
        <v>172360.787</v>
      </c>
      <c r="C5" s="11" t="n">
        <v>1400.013</v>
      </c>
      <c r="D5" s="11" t="n">
        <v>18930.8</v>
      </c>
      <c r="E5" s="11" t="n">
        <v>192691.6</v>
      </c>
      <c r="F5" s="11" t="n">
        <v>28300.7</v>
      </c>
      <c r="G5" s="11" t="n">
        <v>220992.3</v>
      </c>
      <c r="H5" s="11" t="n">
        <v>260370.84</v>
      </c>
    </row>
    <row r="6" customFormat="false" ht="15" hidden="false" customHeight="false" outlineLevel="0" collapsed="false">
      <c r="A6" s="10" t="n">
        <v>1991</v>
      </c>
      <c r="B6" s="11" t="n">
        <v>192005.358</v>
      </c>
      <c r="C6" s="11" t="n">
        <v>1514.813</v>
      </c>
      <c r="D6" s="11" t="n">
        <v>19696.739</v>
      </c>
      <c r="E6" s="11" t="n">
        <v>213216.91</v>
      </c>
      <c r="F6" s="11" t="n">
        <v>14423.5</v>
      </c>
      <c r="G6" s="11" t="n">
        <v>227640.41</v>
      </c>
      <c r="H6" s="11" t="n">
        <v>245370.03</v>
      </c>
    </row>
    <row r="7" customFormat="false" ht="15" hidden="false" customHeight="false" outlineLevel="0" collapsed="false">
      <c r="A7" s="10" t="n">
        <v>1992</v>
      </c>
      <c r="B7" s="11" t="n">
        <v>209443.98</v>
      </c>
      <c r="C7" s="11" t="n">
        <v>2951.128</v>
      </c>
      <c r="D7" s="11" t="n">
        <v>21690.592</v>
      </c>
      <c r="E7" s="11" t="n">
        <v>234085.7</v>
      </c>
      <c r="F7" s="11" t="n">
        <v>5634.6</v>
      </c>
      <c r="G7" s="11" t="n">
        <v>239720.3</v>
      </c>
      <c r="H7" s="11" t="n">
        <v>224983.4</v>
      </c>
    </row>
    <row r="8" customFormat="false" ht="15" hidden="false" customHeight="false" outlineLevel="0" collapsed="false">
      <c r="A8" s="10" t="n">
        <v>1993</v>
      </c>
      <c r="B8" s="11" t="n">
        <v>200847.5346</v>
      </c>
      <c r="C8" s="11" t="n">
        <v>1570.342</v>
      </c>
      <c r="D8" s="11" t="n">
        <v>23263.5784</v>
      </c>
      <c r="E8" s="11" t="n">
        <v>225681.455</v>
      </c>
      <c r="F8" s="11" t="n">
        <v>7562.4</v>
      </c>
      <c r="G8" s="11" t="n">
        <v>233243.855</v>
      </c>
      <c r="H8" s="11" t="n">
        <v>248301.9</v>
      </c>
    </row>
    <row r="9" customFormat="false" ht="15" hidden="false" customHeight="false" outlineLevel="0" collapsed="false">
      <c r="A9" s="10" t="n">
        <v>1994</v>
      </c>
      <c r="B9" s="11" t="n">
        <v>175918.423</v>
      </c>
      <c r="C9" s="11" t="n">
        <v>923.928</v>
      </c>
      <c r="D9" s="11" t="n">
        <v>18749.619</v>
      </c>
      <c r="E9" s="11" t="n">
        <v>195591.97</v>
      </c>
      <c r="F9" s="11" t="n">
        <v>13501.4</v>
      </c>
      <c r="G9" s="11" t="n">
        <v>209093.37</v>
      </c>
      <c r="H9" s="11" t="n">
        <v>256980.13</v>
      </c>
    </row>
    <row r="10" customFormat="false" ht="15" hidden="false" customHeight="false" outlineLevel="0" collapsed="false">
      <c r="A10" s="10" t="n">
        <v>1995</v>
      </c>
      <c r="B10" s="11" t="n">
        <v>167142.852</v>
      </c>
      <c r="C10" s="11" t="n">
        <v>4182.881</v>
      </c>
      <c r="D10" s="11" t="n">
        <v>19067.673</v>
      </c>
      <c r="E10" s="11" t="n">
        <v>190393.406</v>
      </c>
      <c r="F10" s="11" t="n">
        <v>17180.6</v>
      </c>
      <c r="G10" s="11" t="n">
        <v>207574.006</v>
      </c>
      <c r="H10" s="11" t="n">
        <v>250835.29</v>
      </c>
    </row>
    <row r="11" customFormat="false" ht="15" hidden="false" customHeight="false" outlineLevel="0" collapsed="false">
      <c r="A11" s="10" t="n">
        <v>1996</v>
      </c>
      <c r="B11" s="11" t="n">
        <v>166369.333</v>
      </c>
      <c r="C11" s="11" t="n">
        <v>14044.868</v>
      </c>
      <c r="D11" s="11" t="n">
        <v>20996.569</v>
      </c>
      <c r="E11" s="11" t="n">
        <v>201410.77</v>
      </c>
      <c r="F11" s="11" t="n">
        <v>28732.7</v>
      </c>
      <c r="G11" s="11" t="n">
        <v>230143.47</v>
      </c>
      <c r="H11" s="11" t="n">
        <v>242008.34</v>
      </c>
    </row>
    <row r="12" customFormat="false" ht="15" hidden="false" customHeight="false" outlineLevel="0" collapsed="false">
      <c r="A12" s="10" t="n">
        <v>1997</v>
      </c>
      <c r="B12" s="11" t="n">
        <v>140118.505</v>
      </c>
      <c r="C12" s="11" t="n">
        <v>26498.803</v>
      </c>
      <c r="D12" s="11" t="n">
        <v>16705.013</v>
      </c>
      <c r="E12" s="11" t="n">
        <v>183322.321</v>
      </c>
      <c r="F12" s="11" t="n">
        <v>5365.7</v>
      </c>
      <c r="G12" s="11" t="n">
        <v>188688.021</v>
      </c>
      <c r="H12" s="11" t="n">
        <v>219924.74</v>
      </c>
    </row>
    <row r="13" customFormat="false" ht="15" hidden="false" customHeight="false" outlineLevel="0" collapsed="false">
      <c r="A13" s="10" t="n">
        <v>1998</v>
      </c>
      <c r="B13" s="11" t="n">
        <v>116268.5586</v>
      </c>
      <c r="C13" s="11" t="n">
        <v>48992.16077</v>
      </c>
      <c r="D13" s="11" t="n">
        <v>18978.192</v>
      </c>
      <c r="E13" s="11" t="n">
        <v>184238.9114</v>
      </c>
      <c r="F13" s="11" t="n">
        <v>13744.9</v>
      </c>
      <c r="G13" s="11" t="n">
        <v>197983.8114</v>
      </c>
      <c r="H13" s="11" t="n">
        <v>206753.6</v>
      </c>
    </row>
    <row r="14" customFormat="false" ht="15" hidden="false" customHeight="false" outlineLevel="0" collapsed="false">
      <c r="A14" s="10" t="n">
        <v>1999</v>
      </c>
      <c r="B14" s="11" t="n">
        <v>138326.964</v>
      </c>
      <c r="C14" s="11" t="n">
        <v>60597.407</v>
      </c>
      <c r="D14" s="11" t="n">
        <v>17377.753</v>
      </c>
      <c r="E14" s="11" t="n">
        <v>216302.124</v>
      </c>
      <c r="F14" s="11" t="n">
        <v>10286.5</v>
      </c>
      <c r="G14" s="11" t="n">
        <v>226588.624</v>
      </c>
      <c r="H14" s="11" t="n">
        <v>205815.31</v>
      </c>
    </row>
    <row r="15" customFormat="false" ht="15" hidden="false" customHeight="false" outlineLevel="0" collapsed="false">
      <c r="A15" s="10" t="n">
        <v>2000</v>
      </c>
      <c r="B15" s="11" t="n">
        <v>117242.4684</v>
      </c>
      <c r="C15" s="11" t="n">
        <v>76934.883</v>
      </c>
      <c r="D15" s="11" t="n">
        <v>16945.545</v>
      </c>
      <c r="E15" s="11" t="n">
        <v>211122.8964</v>
      </c>
      <c r="F15" s="11" t="n">
        <v>10846.9</v>
      </c>
      <c r="G15" s="11" t="n">
        <v>221969.7964</v>
      </c>
      <c r="H15" s="11" t="n">
        <v>211599.13</v>
      </c>
    </row>
    <row r="16" customFormat="false" ht="15" hidden="false" customHeight="false" outlineLevel="0" collapsed="false">
      <c r="A16" s="10" t="n">
        <v>2001</v>
      </c>
      <c r="B16" s="11" t="n">
        <v>93393.2746</v>
      </c>
      <c r="C16" s="11" t="n">
        <v>91648.258</v>
      </c>
      <c r="D16" s="11" t="n">
        <v>16108.647</v>
      </c>
      <c r="E16" s="11" t="n">
        <v>201150.1796</v>
      </c>
      <c r="F16" s="11" t="n">
        <v>3931.3</v>
      </c>
      <c r="G16" s="11" t="n">
        <v>205081.4796</v>
      </c>
      <c r="H16" s="11" t="n">
        <v>214605.48</v>
      </c>
    </row>
    <row r="17" customFormat="false" ht="15" hidden="false" customHeight="false" outlineLevel="0" collapsed="false">
      <c r="A17" s="10" t="n">
        <v>2002</v>
      </c>
      <c r="B17" s="11" t="n">
        <v>88050.2915</v>
      </c>
      <c r="C17" s="11" t="n">
        <v>120020.1923</v>
      </c>
      <c r="D17" s="11" t="n">
        <v>14628.161</v>
      </c>
      <c r="E17" s="11" t="n">
        <v>222698.6448</v>
      </c>
      <c r="F17" s="11" t="n">
        <v>1448.1</v>
      </c>
      <c r="G17" s="11" t="n">
        <v>224146.7448</v>
      </c>
      <c r="H17" s="11" t="n">
        <v>195489.28</v>
      </c>
    </row>
    <row r="18" customFormat="false" ht="15" hidden="false" customHeight="false" outlineLevel="0" collapsed="false">
      <c r="A18" s="10" t="n">
        <v>2003</v>
      </c>
      <c r="B18" s="11" t="n">
        <v>80104.438</v>
      </c>
      <c r="C18" s="11" t="n">
        <v>121658.242</v>
      </c>
      <c r="D18" s="11" t="n">
        <v>12062.775</v>
      </c>
      <c r="E18" s="11" t="n">
        <v>213825.455</v>
      </c>
      <c r="F18" s="11" t="n">
        <v>54903.588</v>
      </c>
      <c r="G18" s="11" t="n">
        <v>268729.043</v>
      </c>
      <c r="H18" s="11" t="n">
        <v>215144.32</v>
      </c>
    </row>
    <row r="19" customFormat="false" ht="15" hidden="false" customHeight="false" outlineLevel="0" collapsed="false">
      <c r="A19" s="10" t="n">
        <v>2004</v>
      </c>
      <c r="B19" s="11" t="n">
        <v>82453.6894</v>
      </c>
      <c r="C19" s="11" t="n">
        <v>135730.3119</v>
      </c>
      <c r="D19" s="11" t="n">
        <v>12048.40527</v>
      </c>
      <c r="E19" s="11" t="n">
        <v>230232.4066</v>
      </c>
      <c r="F19" s="11" t="n">
        <v>24311.6</v>
      </c>
      <c r="G19" s="11" t="n">
        <v>254544.0066</v>
      </c>
      <c r="H19" s="11" t="n">
        <v>200046.69</v>
      </c>
    </row>
    <row r="20" customFormat="false" ht="15" hidden="false" customHeight="false" outlineLevel="0" collapsed="false">
      <c r="A20" s="10" t="n">
        <v>2005</v>
      </c>
      <c r="B20" s="11" t="n">
        <v>76531.3104</v>
      </c>
      <c r="C20" s="11" t="n">
        <v>165084.6093</v>
      </c>
      <c r="D20" s="11" t="n">
        <v>8919.1675</v>
      </c>
      <c r="E20" s="11" t="n">
        <v>250535.0872</v>
      </c>
      <c r="F20" s="11" t="n">
        <v>27827.8</v>
      </c>
      <c r="G20" s="11" t="n">
        <v>278362.8872</v>
      </c>
      <c r="H20" s="11" t="n">
        <v>225929.87</v>
      </c>
    </row>
    <row r="21" customFormat="false" ht="15" hidden="false" customHeight="false" outlineLevel="0" collapsed="false">
      <c r="A21" s="10" t="n">
        <v>2006</v>
      </c>
      <c r="B21" s="11" t="n">
        <v>52991.798</v>
      </c>
      <c r="C21" s="11" t="n">
        <v>155763.867</v>
      </c>
      <c r="D21" s="11" t="n">
        <v>6181.175</v>
      </c>
      <c r="E21" s="11" t="n">
        <v>214936.84</v>
      </c>
      <c r="F21" s="11" t="n">
        <v>71927.4</v>
      </c>
      <c r="G21" s="11" t="n">
        <v>286864.24</v>
      </c>
      <c r="H21" s="11" t="n">
        <v>274616.1</v>
      </c>
    </row>
    <row r="22" customFormat="false" ht="15" hidden="false" customHeight="false" outlineLevel="0" collapsed="false">
      <c r="A22" s="10" t="n">
        <v>2007</v>
      </c>
      <c r="B22" s="11" t="n">
        <v>42129.927</v>
      </c>
      <c r="C22" s="11" t="n">
        <v>153285.0309</v>
      </c>
      <c r="D22" s="11" t="n">
        <v>5602.889</v>
      </c>
      <c r="E22" s="11" t="n">
        <v>201017.8469</v>
      </c>
      <c r="F22" s="11" t="n">
        <v>13907.6</v>
      </c>
      <c r="G22" s="11" t="n">
        <v>214925.4469</v>
      </c>
      <c r="H22" s="11" t="n">
        <v>246869.34</v>
      </c>
    </row>
    <row r="23" customFormat="false" ht="15" hidden="false" customHeight="false" outlineLevel="0" collapsed="false">
      <c r="A23" s="10" t="n">
        <v>2008</v>
      </c>
      <c r="B23" s="11" t="n">
        <v>30003.97</v>
      </c>
      <c r="C23" s="11" t="n">
        <v>132360.559</v>
      </c>
      <c r="D23" s="11" t="n">
        <v>3638.145</v>
      </c>
      <c r="E23" s="11" t="n">
        <v>166002.674</v>
      </c>
      <c r="F23" s="11" t="n">
        <v>25469.3</v>
      </c>
      <c r="G23" s="11" t="n">
        <v>191471.974</v>
      </c>
      <c r="H23" s="11" t="n">
        <v>237128.93</v>
      </c>
    </row>
    <row r="24" customFormat="false" ht="15" hidden="false" customHeight="false" outlineLevel="0" collapsed="false">
      <c r="A24" s="10" t="n">
        <v>2009</v>
      </c>
      <c r="B24" s="11" t="n">
        <v>25785.674</v>
      </c>
      <c r="C24" s="11" t="n">
        <v>130819.615</v>
      </c>
      <c r="D24" s="11" t="n">
        <v>2501.853</v>
      </c>
      <c r="E24" s="11" t="n">
        <v>159107.142</v>
      </c>
      <c r="F24" s="11" t="n">
        <v>45921.8</v>
      </c>
      <c r="G24" s="11" t="n">
        <v>205028.942</v>
      </c>
      <c r="H24" s="11" t="n">
        <v>197732.72</v>
      </c>
    </row>
    <row r="25" customFormat="false" ht="15" hidden="false" customHeight="false" outlineLevel="0" collapsed="false">
      <c r="A25" s="10" t="n">
        <v>2010</v>
      </c>
      <c r="B25" s="11" t="n">
        <v>33320.477</v>
      </c>
      <c r="C25" s="11" t="n">
        <v>155614.319</v>
      </c>
      <c r="D25" s="11" t="n">
        <v>3194.584</v>
      </c>
      <c r="E25" s="11" t="n">
        <v>192129.38</v>
      </c>
      <c r="F25" s="11" t="n">
        <v>86239.93</v>
      </c>
      <c r="G25" s="11" t="n">
        <v>278369.31</v>
      </c>
      <c r="H25" s="11" t="n">
        <v>207668.42</v>
      </c>
    </row>
    <row r="26" customFormat="false" ht="15" hidden="false" customHeight="false" outlineLevel="0" collapsed="false">
      <c r="A26" s="10" t="n">
        <v>2011</v>
      </c>
      <c r="B26" s="11" t="n">
        <v>32561.85</v>
      </c>
      <c r="C26" s="11" t="n">
        <v>173798.888</v>
      </c>
      <c r="D26" s="11" t="n">
        <v>4019.462</v>
      </c>
      <c r="E26" s="11" t="n">
        <v>210380.2</v>
      </c>
      <c r="F26" s="11" t="n">
        <v>3241.7</v>
      </c>
      <c r="G26" s="11" t="n">
        <v>213621.9</v>
      </c>
      <c r="H26" s="11" t="n">
        <v>193250.32</v>
      </c>
    </row>
    <row r="27" customFormat="false" ht="15" hidden="false" customHeight="false" outlineLevel="0" collapsed="false">
      <c r="A27" s="10" t="n">
        <v>2012</v>
      </c>
      <c r="B27" s="11" t="n">
        <v>29333.979</v>
      </c>
      <c r="C27" s="11" t="n">
        <v>182378.166</v>
      </c>
      <c r="D27" s="11" t="n">
        <v>3416.409</v>
      </c>
      <c r="E27" s="11" t="n">
        <v>215128.554</v>
      </c>
      <c r="F27" s="11" t="n">
        <v>5492.5</v>
      </c>
      <c r="G27" s="11" t="n">
        <v>220621.054</v>
      </c>
      <c r="H27" s="11" t="n">
        <v>215086.72</v>
      </c>
    </row>
    <row r="28" customFormat="false" ht="15" hidden="false" customHeight="false" outlineLevel="0" collapsed="false">
      <c r="A28" s="10" t="n">
        <v>2013</v>
      </c>
      <c r="B28" s="11" t="n">
        <v>28098.967</v>
      </c>
      <c r="C28" s="11" t="n">
        <v>195012.751</v>
      </c>
      <c r="D28" s="11" t="n">
        <v>3102.151</v>
      </c>
      <c r="E28" s="11" t="n">
        <v>226213.869</v>
      </c>
      <c r="F28" s="11" t="n">
        <v>2680.9</v>
      </c>
      <c r="G28" s="11" t="n">
        <v>228894.769</v>
      </c>
      <c r="H28" s="11" t="n">
        <v>214909.09</v>
      </c>
    </row>
    <row r="29" customFormat="false" ht="15" hidden="false" customHeight="false" outlineLevel="0" collapsed="false">
      <c r="A29" s="10" t="n">
        <v>2014</v>
      </c>
      <c r="B29" s="11" t="n">
        <v>25803.4287</v>
      </c>
      <c r="C29" s="11" t="n">
        <v>175498.699</v>
      </c>
      <c r="D29" s="11" t="n">
        <v>3489.162</v>
      </c>
      <c r="E29" s="11" t="n">
        <v>204791.2897</v>
      </c>
      <c r="F29" s="11" t="n">
        <v>29966.8</v>
      </c>
      <c r="G29" s="11" t="n">
        <v>234758.0897</v>
      </c>
      <c r="H29" s="11" t="n">
        <v>217204.82</v>
      </c>
    </row>
    <row r="30" customFormat="false" ht="15" hidden="false" customHeight="false" outlineLevel="0" collapsed="false">
      <c r="A30" s="10" t="n">
        <v>2015</v>
      </c>
      <c r="B30" s="11" t="n">
        <v>26864.044</v>
      </c>
      <c r="C30" s="11" t="n">
        <v>200699.071</v>
      </c>
      <c r="D30" s="11" t="n">
        <v>3285.485</v>
      </c>
      <c r="E30" s="11" t="n">
        <v>230848.6</v>
      </c>
      <c r="F30" s="11" t="n">
        <v>25147.8</v>
      </c>
      <c r="G30" s="11" t="n">
        <v>255996.4</v>
      </c>
      <c r="H30" s="11" t="n">
        <v>223938.67</v>
      </c>
    </row>
    <row r="31" customFormat="false" ht="15" hidden="false" customHeight="false" outlineLevel="0" collapsed="false">
      <c r="A31" s="10" t="n">
        <v>2016</v>
      </c>
      <c r="B31" s="11" t="n">
        <v>29517.711</v>
      </c>
      <c r="C31" s="11" t="n">
        <v>174297.603</v>
      </c>
      <c r="D31" s="11" t="n">
        <v>3805.165</v>
      </c>
      <c r="E31" s="11" t="n">
        <v>207620.479</v>
      </c>
      <c r="F31" s="11" t="n">
        <v>13114.5</v>
      </c>
      <c r="G31" s="11" t="n">
        <v>220734.979</v>
      </c>
      <c r="H31" s="11" t="n">
        <v>213446.23</v>
      </c>
    </row>
    <row r="32" customFormat="false" ht="15" hidden="false" customHeight="false" outlineLevel="0" collapsed="false">
      <c r="A32" s="10" t="n">
        <v>2017</v>
      </c>
      <c r="B32" s="11" t="n">
        <v>29170.857</v>
      </c>
      <c r="C32" s="11" t="n">
        <v>167049.328</v>
      </c>
      <c r="D32" s="11" t="n">
        <v>7596.211</v>
      </c>
      <c r="E32" s="11" t="n">
        <v>203816.396</v>
      </c>
      <c r="F32" s="11" t="n">
        <v>218275.3</v>
      </c>
      <c r="G32" s="11" t="n">
        <v>422091.696</v>
      </c>
      <c r="H32" s="11" t="n">
        <v>271522.03</v>
      </c>
    </row>
    <row r="33" customFormat="false" ht="15" hidden="false" customHeight="false" outlineLevel="0" collapsed="false">
      <c r="A33" s="10" t="n">
        <v>2018</v>
      </c>
      <c r="B33" s="11" t="n">
        <v>27074.234</v>
      </c>
      <c r="C33" s="11" t="n">
        <v>168086.596</v>
      </c>
      <c r="D33" s="11" t="n">
        <v>6795.513</v>
      </c>
      <c r="E33" s="11" t="n">
        <v>201956.343</v>
      </c>
      <c r="F33" s="11" t="n">
        <v>95545.57</v>
      </c>
      <c r="G33" s="11" t="n">
        <v>297501.913</v>
      </c>
      <c r="H33" s="11" t="n">
        <v>221338.65</v>
      </c>
    </row>
    <row r="34" customFormat="false" ht="15" hidden="false" customHeight="false" outlineLevel="0" collapsed="false">
      <c r="A34" s="10" t="n">
        <v>2019</v>
      </c>
      <c r="B34" s="11" t="n">
        <v>21162.097</v>
      </c>
      <c r="C34" s="11" t="n">
        <v>128082.859</v>
      </c>
      <c r="D34" s="11" t="n">
        <v>7344.229</v>
      </c>
      <c r="E34" s="11" t="n">
        <v>156589.185</v>
      </c>
      <c r="F34" s="11" t="n">
        <v>3682.9</v>
      </c>
      <c r="G34" s="11" t="n">
        <v>160272.085</v>
      </c>
      <c r="H34" s="11" t="n">
        <v>208460.62</v>
      </c>
    </row>
    <row r="35" customFormat="false" ht="15" hidden="false" customHeight="false" outlineLevel="0" collapsed="false">
      <c r="A35" s="10" t="n">
        <v>2020</v>
      </c>
      <c r="B35" s="11" t="n">
        <v>16742.689</v>
      </c>
      <c r="C35" s="11" t="n">
        <v>130204.817</v>
      </c>
      <c r="D35" s="11" t="n">
        <v>9273.472</v>
      </c>
      <c r="E35" s="11" t="n">
        <v>156220.978</v>
      </c>
      <c r="F35" s="11" t="n">
        <v>5012.36</v>
      </c>
      <c r="G35" s="11" t="n">
        <v>161233.338</v>
      </c>
      <c r="H35" s="11" t="n">
        <v>222286.85</v>
      </c>
    </row>
    <row r="36" customFormat="false" ht="15" hidden="false" customHeight="false" outlineLevel="0" collapsed="false">
      <c r="A36" s="10" t="n">
        <v>2021</v>
      </c>
      <c r="B36" s="11" t="n">
        <v>13177.1377</v>
      </c>
      <c r="C36" s="11" t="n">
        <v>122561.538</v>
      </c>
      <c r="D36" s="11" t="n">
        <v>8294.564</v>
      </c>
      <c r="E36" s="11" t="n">
        <v>144033.2397</v>
      </c>
      <c r="F36" s="11" t="n">
        <v>73022.5</v>
      </c>
      <c r="G36" s="11" t="n">
        <v>217055.7397</v>
      </c>
      <c r="H36" s="11" t="n">
        <v>224322.61</v>
      </c>
    </row>
    <row r="37" customFormat="false" ht="15" hidden="false" customHeight="false" outlineLevel="0" collapsed="false">
      <c r="A37" s="10" t="n">
        <v>2022</v>
      </c>
      <c r="B37" s="11" t="n">
        <v>9237.322</v>
      </c>
      <c r="C37" s="11" t="n">
        <v>100909.085</v>
      </c>
      <c r="D37" s="11" t="n">
        <v>8953.193</v>
      </c>
      <c r="E37" s="11" t="n">
        <v>119099.6</v>
      </c>
      <c r="F37" s="11" t="n">
        <v>8444</v>
      </c>
      <c r="G37" s="11" t="n">
        <v>127543.6</v>
      </c>
      <c r="H37" s="11" t="n">
        <v>200184.73</v>
      </c>
    </row>
    <row r="38" customFormat="false" ht="15" hidden="false" customHeight="false" outlineLevel="0" collapsed="false">
      <c r="A38" s="10" t="n">
        <v>2023</v>
      </c>
      <c r="B38" s="11" t="n">
        <v>7299.887</v>
      </c>
      <c r="C38" s="11" t="n">
        <v>65369.253</v>
      </c>
      <c r="D38" s="11" t="n">
        <v>6292.06</v>
      </c>
      <c r="E38" s="11" t="n">
        <v>78961.2</v>
      </c>
      <c r="F38" s="11" t="n">
        <v>37980.7</v>
      </c>
      <c r="G38" s="11" t="n">
        <v>116941.9</v>
      </c>
      <c r="H38" s="11" t="n">
        <v>189393.65</v>
      </c>
    </row>
  </sheetData>
  <autoFilter ref="A1:H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64</v>
      </c>
      <c r="B1" s="1"/>
      <c r="C1" s="1"/>
    </row>
    <row r="2" customFormat="false" ht="15" hidden="false" customHeight="false" outlineLevel="0" collapsed="false">
      <c r="A2" s="2" t="s">
        <v>65</v>
      </c>
      <c r="B2" s="2"/>
      <c r="C2" s="2"/>
    </row>
    <row r="4" customFormat="false" ht="24" hidden="false" customHeight="true" outlineLevel="0" collapsed="false">
      <c r="A4" s="5" t="s">
        <v>66</v>
      </c>
      <c r="B4" s="5" t="s">
        <v>67</v>
      </c>
      <c r="C4" s="5" t="s">
        <v>68</v>
      </c>
    </row>
    <row r="5" customFormat="false" ht="36" hidden="false" customHeight="true" outlineLevel="0" collapsed="false">
      <c r="A5" s="7" t="s">
        <v>69</v>
      </c>
      <c r="B5" s="12"/>
      <c r="C5" s="13" t="s">
        <v>70</v>
      </c>
    </row>
    <row r="6" customFormat="false" ht="36" hidden="false" customHeight="true" outlineLevel="0" collapsed="false">
      <c r="A6" s="7" t="s">
        <v>71</v>
      </c>
      <c r="B6" s="12"/>
      <c r="C6" s="13" t="s">
        <v>72</v>
      </c>
    </row>
    <row r="7" customFormat="false" ht="36" hidden="false" customHeight="true" outlineLevel="0" collapsed="false">
      <c r="A7" s="7" t="s">
        <v>73</v>
      </c>
      <c r="B7" s="12"/>
      <c r="C7" s="13" t="s">
        <v>74</v>
      </c>
    </row>
    <row r="8" customFormat="false" ht="36" hidden="false" customHeight="true" outlineLevel="0" collapsed="false">
      <c r="A8" s="7" t="s">
        <v>75</v>
      </c>
      <c r="B8" s="12"/>
      <c r="C8" s="13" t="s">
        <v>76</v>
      </c>
    </row>
    <row r="9" customFormat="false" ht="36" hidden="false" customHeight="true" outlineLevel="0" collapsed="false">
      <c r="A9" s="7" t="s">
        <v>77</v>
      </c>
      <c r="B9" s="12"/>
      <c r="C9" s="13" t="s">
        <v>78</v>
      </c>
    </row>
    <row r="10" customFormat="false" ht="36" hidden="false" customHeight="true" outlineLevel="0" collapsed="false">
      <c r="A10" s="7" t="s">
        <v>79</v>
      </c>
      <c r="B10" s="12"/>
      <c r="C10" s="13" t="s">
        <v>80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81</v>
      </c>
      <c r="B1" s="1"/>
      <c r="C1" s="1"/>
      <c r="D1" s="1"/>
    </row>
    <row r="2" customFormat="false" ht="15" hidden="false" customHeight="false" outlineLevel="0" collapsed="false">
      <c r="A2" s="2" t="s">
        <v>82</v>
      </c>
      <c r="B2" s="2"/>
      <c r="C2" s="2"/>
      <c r="D2" s="2"/>
    </row>
    <row r="4" customFormat="false" ht="30" hidden="false" customHeight="true" outlineLevel="0" collapsed="false">
      <c r="A4" s="5" t="s">
        <v>83</v>
      </c>
      <c r="B4" s="5" t="s">
        <v>84</v>
      </c>
      <c r="C4" s="5" t="s">
        <v>34</v>
      </c>
      <c r="D4" s="5" t="s">
        <v>85</v>
      </c>
    </row>
    <row r="5" customFormat="false" ht="39.75" hidden="false" customHeight="true" outlineLevel="0" collapsed="false">
      <c r="A5" s="6" t="s">
        <v>37</v>
      </c>
      <c r="B5" s="14"/>
      <c r="C5" s="14"/>
      <c r="D5" s="14"/>
    </row>
    <row r="6" customFormat="false" ht="39.75" hidden="false" customHeight="true" outlineLevel="0" collapsed="false">
      <c r="A6" s="6" t="s">
        <v>42</v>
      </c>
      <c r="B6" s="14"/>
      <c r="C6" s="14"/>
      <c r="D6" s="14"/>
    </row>
    <row r="7" customFormat="false" ht="39.75" hidden="false" customHeight="true" outlineLevel="0" collapsed="false">
      <c r="A7" s="6" t="s">
        <v>46</v>
      </c>
      <c r="B7" s="14"/>
      <c r="C7" s="14"/>
      <c r="D7" s="14"/>
    </row>
    <row r="8" customFormat="false" ht="39.75" hidden="false" customHeight="true" outlineLevel="0" collapsed="false">
      <c r="A8" s="6" t="s">
        <v>52</v>
      </c>
      <c r="B8" s="14"/>
      <c r="C8" s="14"/>
      <c r="D8" s="14"/>
    </row>
    <row r="9" customFormat="false" ht="39.75" hidden="false" customHeight="true" outlineLevel="0" collapsed="false">
      <c r="A9" s="6" t="s">
        <v>55</v>
      </c>
      <c r="B9" s="14"/>
      <c r="C9" s="14"/>
      <c r="D9" s="14"/>
    </row>
    <row r="10" customFormat="false" ht="39.75" hidden="false" customHeight="true" outlineLevel="0" collapsed="false">
      <c r="A10" s="6" t="s">
        <v>58</v>
      </c>
      <c r="B10" s="14"/>
      <c r="C10" s="14"/>
      <c r="D10" s="14"/>
    </row>
    <row r="11" customFormat="false" ht="39.75" hidden="false" customHeight="true" outlineLevel="0" collapsed="false">
      <c r="A11" s="6" t="s">
        <v>61</v>
      </c>
      <c r="B11" s="14"/>
      <c r="C11" s="14"/>
      <c r="D11" s="1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0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86</v>
      </c>
      <c r="B1" s="1"/>
      <c r="C1" s="1"/>
      <c r="D1" s="1"/>
    </row>
    <row r="2" customFormat="false" ht="15" hidden="false" customHeight="false" outlineLevel="0" collapsed="false">
      <c r="A2" s="2" t="s">
        <v>87</v>
      </c>
      <c r="B2" s="2"/>
      <c r="C2" s="2"/>
      <c r="D2" s="2"/>
    </row>
    <row r="4" customFormat="false" ht="25.5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</row>
    <row r="5" customFormat="false" ht="31.5" hidden="false" customHeight="true" outlineLevel="0" collapsed="false">
      <c r="A5" s="7" t="s">
        <v>92</v>
      </c>
      <c r="B5" s="15" t="n">
        <f aca="false">SUM(Data!$H$2:$H$38)</f>
        <v>8264063.55</v>
      </c>
      <c r="C5" s="14"/>
      <c r="D5" s="16" t="n">
        <f aca="false">C5</f>
        <v>0</v>
      </c>
    </row>
    <row r="6" customFormat="false" ht="31.5" hidden="false" customHeight="true" outlineLevel="0" collapsed="false">
      <c r="A6" s="7" t="s">
        <v>93</v>
      </c>
      <c r="B6" s="15" t="n">
        <f aca="false">AVERAGE(Data!$G$2:$G$38)</f>
        <v>228088.512467568</v>
      </c>
      <c r="C6" s="14"/>
      <c r="D6" s="16" t="n">
        <f aca="false">C6</f>
        <v>0</v>
      </c>
    </row>
    <row r="7" customFormat="false" ht="31.5" hidden="false" customHeight="true" outlineLevel="0" collapsed="false">
      <c r="A7" s="7" t="s">
        <v>94</v>
      </c>
      <c r="B7" s="15" t="n">
        <f aca="false">MIN(Data!$F$2:$F$38)</f>
        <v>1448.1</v>
      </c>
      <c r="C7" s="14"/>
      <c r="D7" s="16" t="n">
        <f aca="false">C7</f>
        <v>0</v>
      </c>
    </row>
    <row r="8" customFormat="false" ht="31.5" hidden="false" customHeight="true" outlineLevel="0" collapsed="false">
      <c r="A8" s="7" t="s">
        <v>95</v>
      </c>
      <c r="B8" s="15" t="n">
        <f aca="false">MAX(Data!$F$2:$F$38)</f>
        <v>218275.3</v>
      </c>
      <c r="C8" s="14"/>
      <c r="D8" s="16" t="n">
        <f aca="false">C8</f>
        <v>0</v>
      </c>
    </row>
    <row r="9" customFormat="false" ht="31.5" hidden="false" customHeight="true" outlineLevel="0" collapsed="false">
      <c r="A9" s="7" t="s">
        <v>96</v>
      </c>
      <c r="B9" s="15" t="n">
        <f aca="false">COUNT(Data!$A$2:$A$38)</f>
        <v>37</v>
      </c>
      <c r="C9" s="14"/>
      <c r="D9" s="16" t="n">
        <f aca="false">C9</f>
        <v>0</v>
      </c>
    </row>
    <row r="11" customFormat="false" ht="15" hidden="false" customHeight="false" outlineLevel="0" collapsed="false">
      <c r="A11" s="17" t="s">
        <v>97</v>
      </c>
    </row>
    <row r="12" customFormat="false" ht="15" hidden="false" customHeight="false" outlineLevel="0" collapsed="false">
      <c r="A12" s="2" t="s">
        <v>98</v>
      </c>
      <c r="B12" s="2"/>
      <c r="C12" s="2"/>
      <c r="D12" s="2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99</v>
      </c>
      <c r="B1" s="1"/>
      <c r="C1" s="1"/>
      <c r="D1" s="1"/>
    </row>
    <row r="2" customFormat="false" ht="15" hidden="false" customHeight="false" outlineLevel="0" collapsed="false">
      <c r="A2" s="2" t="s">
        <v>100</v>
      </c>
      <c r="B2" s="2"/>
      <c r="C2" s="2"/>
      <c r="D2" s="2"/>
    </row>
    <row r="4" customFormat="false" ht="25.5" hidden="false" customHeight="true" outlineLevel="0" collapsed="false">
      <c r="A4" s="5" t="s">
        <v>37</v>
      </c>
      <c r="B4" s="5" t="s">
        <v>101</v>
      </c>
      <c r="C4" s="5" t="s">
        <v>58</v>
      </c>
      <c r="D4" s="5" t="s">
        <v>102</v>
      </c>
    </row>
    <row r="5" customFormat="false" ht="15" hidden="false" customHeight="false" outlineLevel="0" collapsed="false">
      <c r="A5" s="18" t="n">
        <f aca="false">Data!A2</f>
        <v>1987</v>
      </c>
      <c r="B5" s="12"/>
      <c r="C5" s="16" t="n">
        <f aca="false">Data!G2</f>
        <v>263057</v>
      </c>
      <c r="D5" s="16" t="n">
        <f aca="false">B5 - C5</f>
        <v>-263057</v>
      </c>
    </row>
    <row r="6" customFormat="false" ht="15" hidden="false" customHeight="false" outlineLevel="0" collapsed="false">
      <c r="A6" s="18" t="n">
        <f aca="false">Data!A3</f>
        <v>1988</v>
      </c>
      <c r="B6" s="12"/>
      <c r="C6" s="16" t="n">
        <f aca="false">Data!G3</f>
        <v>261198.52</v>
      </c>
      <c r="D6" s="16" t="n">
        <f aca="false">B6 - C6</f>
        <v>-261198.52</v>
      </c>
    </row>
    <row r="7" customFormat="false" ht="15" hidden="false" customHeight="false" outlineLevel="0" collapsed="false">
      <c r="A7" s="18" t="n">
        <f aca="false">Data!A4</f>
        <v>1989</v>
      </c>
      <c r="B7" s="12"/>
      <c r="C7" s="16" t="n">
        <f aca="false">Data!G4</f>
        <v>226589.94</v>
      </c>
      <c r="D7" s="16" t="n">
        <f aca="false">B7 - C7</f>
        <v>-226589.94</v>
      </c>
    </row>
    <row r="8" customFormat="false" ht="15" hidden="false" customHeight="false" outlineLevel="0" collapsed="false">
      <c r="A8" s="18" t="n">
        <f aca="false">Data!A5</f>
        <v>1990</v>
      </c>
      <c r="B8" s="12"/>
      <c r="C8" s="16" t="n">
        <f aca="false">Data!G5</f>
        <v>220992.3</v>
      </c>
      <c r="D8" s="16" t="n">
        <f aca="false">B8 - C8</f>
        <v>-220992.3</v>
      </c>
    </row>
    <row r="9" customFormat="false" ht="15" hidden="false" customHeight="false" outlineLevel="0" collapsed="false">
      <c r="A9" s="18" t="n">
        <f aca="false">Data!A6</f>
        <v>1991</v>
      </c>
      <c r="B9" s="12"/>
      <c r="C9" s="16" t="n">
        <f aca="false">Data!G6</f>
        <v>227640.41</v>
      </c>
      <c r="D9" s="16" t="n">
        <f aca="false">B9 - C9</f>
        <v>-227640.41</v>
      </c>
    </row>
    <row r="10" customFormat="false" ht="15" hidden="false" customHeight="false" outlineLevel="0" collapsed="false">
      <c r="A10" s="18" t="n">
        <f aca="false">Data!A7</f>
        <v>1992</v>
      </c>
      <c r="B10" s="12"/>
      <c r="C10" s="16" t="n">
        <f aca="false">Data!G7</f>
        <v>239720.3</v>
      </c>
      <c r="D10" s="16" t="n">
        <f aca="false">B10 - C10</f>
        <v>-239720.3</v>
      </c>
    </row>
    <row r="11" customFormat="false" ht="15" hidden="false" customHeight="false" outlineLevel="0" collapsed="false">
      <c r="A11" s="18" t="n">
        <f aca="false">Data!A8</f>
        <v>1993</v>
      </c>
      <c r="B11" s="12"/>
      <c r="C11" s="16" t="n">
        <f aca="false">Data!G8</f>
        <v>233243.855</v>
      </c>
      <c r="D11" s="16" t="n">
        <f aca="false">B11 - C11</f>
        <v>-233243.855</v>
      </c>
    </row>
    <row r="12" customFormat="false" ht="15" hidden="false" customHeight="false" outlineLevel="0" collapsed="false">
      <c r="A12" s="18" t="n">
        <f aca="false">Data!A9</f>
        <v>1994</v>
      </c>
      <c r="B12" s="12"/>
      <c r="C12" s="16" t="n">
        <f aca="false">Data!G9</f>
        <v>209093.37</v>
      </c>
      <c r="D12" s="16" t="n">
        <f aca="false">B12 - C12</f>
        <v>-209093.37</v>
      </c>
    </row>
    <row r="13" customFormat="false" ht="15" hidden="false" customHeight="false" outlineLevel="0" collapsed="false">
      <c r="A13" s="18" t="n">
        <f aca="false">Data!A10</f>
        <v>1995</v>
      </c>
      <c r="B13" s="12"/>
      <c r="C13" s="16" t="n">
        <f aca="false">Data!G10</f>
        <v>207574.006</v>
      </c>
      <c r="D13" s="16" t="n">
        <f aca="false">B13 - C13</f>
        <v>-207574.006</v>
      </c>
    </row>
    <row r="14" customFormat="false" ht="15" hidden="false" customHeight="false" outlineLevel="0" collapsed="false">
      <c r="A14" s="18" t="n">
        <f aca="false">Data!A11</f>
        <v>1996</v>
      </c>
      <c r="B14" s="12"/>
      <c r="C14" s="16" t="n">
        <f aca="false">Data!G11</f>
        <v>230143.47</v>
      </c>
      <c r="D14" s="16" t="n">
        <f aca="false">B14 - C14</f>
        <v>-230143.47</v>
      </c>
    </row>
    <row r="15" customFormat="false" ht="15" hidden="false" customHeight="false" outlineLevel="0" collapsed="false">
      <c r="A15" s="18" t="n">
        <f aca="false">Data!A12</f>
        <v>1997</v>
      </c>
      <c r="B15" s="12"/>
      <c r="C15" s="16" t="n">
        <f aca="false">Data!G12</f>
        <v>188688.021</v>
      </c>
      <c r="D15" s="16" t="n">
        <f aca="false">B15 - C15</f>
        <v>-188688.021</v>
      </c>
    </row>
    <row r="16" customFormat="false" ht="15" hidden="false" customHeight="false" outlineLevel="0" collapsed="false">
      <c r="A16" s="18" t="n">
        <f aca="false">Data!A13</f>
        <v>1998</v>
      </c>
      <c r="B16" s="12"/>
      <c r="C16" s="16" t="n">
        <f aca="false">Data!G13</f>
        <v>197983.8114</v>
      </c>
      <c r="D16" s="16" t="n">
        <f aca="false">B16 - C16</f>
        <v>-197983.8114</v>
      </c>
    </row>
    <row r="17" customFormat="false" ht="15" hidden="false" customHeight="false" outlineLevel="0" collapsed="false">
      <c r="A17" s="18" t="n">
        <f aca="false">Data!A14</f>
        <v>1999</v>
      </c>
      <c r="B17" s="12"/>
      <c r="C17" s="16" t="n">
        <f aca="false">Data!G14</f>
        <v>226588.624</v>
      </c>
      <c r="D17" s="16" t="n">
        <f aca="false">B17 - C17</f>
        <v>-226588.624</v>
      </c>
    </row>
    <row r="18" customFormat="false" ht="15" hidden="false" customHeight="false" outlineLevel="0" collapsed="false">
      <c r="A18" s="18" t="n">
        <f aca="false">Data!A15</f>
        <v>2000</v>
      </c>
      <c r="B18" s="12"/>
      <c r="C18" s="16" t="n">
        <f aca="false">Data!G15</f>
        <v>221969.7964</v>
      </c>
      <c r="D18" s="16" t="n">
        <f aca="false">B18 - C18</f>
        <v>-221969.7964</v>
      </c>
    </row>
    <row r="19" customFormat="false" ht="15" hidden="false" customHeight="false" outlineLevel="0" collapsed="false">
      <c r="A19" s="18" t="n">
        <f aca="false">Data!A16</f>
        <v>2001</v>
      </c>
      <c r="B19" s="12"/>
      <c r="C19" s="16" t="n">
        <f aca="false">Data!G16</f>
        <v>205081.4796</v>
      </c>
      <c r="D19" s="16" t="n">
        <f aca="false">B19 - C19</f>
        <v>-205081.4796</v>
      </c>
    </row>
    <row r="20" customFormat="false" ht="15" hidden="false" customHeight="false" outlineLevel="0" collapsed="false">
      <c r="A20" s="18" t="n">
        <f aca="false">Data!A17</f>
        <v>2002</v>
      </c>
      <c r="B20" s="12"/>
      <c r="C20" s="16" t="n">
        <f aca="false">Data!G17</f>
        <v>224146.7448</v>
      </c>
      <c r="D20" s="16" t="n">
        <f aca="false">B20 - C20</f>
        <v>-224146.7448</v>
      </c>
    </row>
    <row r="21" customFormat="false" ht="15" hidden="false" customHeight="false" outlineLevel="0" collapsed="false">
      <c r="A21" s="18" t="n">
        <f aca="false">Data!A18</f>
        <v>2003</v>
      </c>
      <c r="B21" s="12"/>
      <c r="C21" s="16" t="n">
        <f aca="false">Data!G18</f>
        <v>268729.043</v>
      </c>
      <c r="D21" s="16" t="n">
        <f aca="false">B21 - C21</f>
        <v>-268729.043</v>
      </c>
    </row>
    <row r="22" customFormat="false" ht="15" hidden="false" customHeight="false" outlineLevel="0" collapsed="false">
      <c r="A22" s="18" t="n">
        <f aca="false">Data!A19</f>
        <v>2004</v>
      </c>
      <c r="B22" s="12"/>
      <c r="C22" s="16" t="n">
        <f aca="false">Data!G19</f>
        <v>254544.0066</v>
      </c>
      <c r="D22" s="16" t="n">
        <f aca="false">B22 - C22</f>
        <v>-254544.0066</v>
      </c>
    </row>
    <row r="23" customFormat="false" ht="15" hidden="false" customHeight="false" outlineLevel="0" collapsed="false">
      <c r="A23" s="18" t="n">
        <f aca="false">Data!A20</f>
        <v>2005</v>
      </c>
      <c r="B23" s="12"/>
      <c r="C23" s="16" t="n">
        <f aca="false">Data!G20</f>
        <v>278362.8872</v>
      </c>
      <c r="D23" s="16" t="n">
        <f aca="false">B23 - C23</f>
        <v>-278362.8872</v>
      </c>
    </row>
    <row r="24" customFormat="false" ht="15" hidden="false" customHeight="false" outlineLevel="0" collapsed="false">
      <c r="A24" s="18" t="n">
        <f aca="false">Data!A21</f>
        <v>2006</v>
      </c>
      <c r="B24" s="12"/>
      <c r="C24" s="16" t="n">
        <f aca="false">Data!G21</f>
        <v>286864.24</v>
      </c>
      <c r="D24" s="16" t="n">
        <f aca="false">B24 - C24</f>
        <v>-286864.24</v>
      </c>
    </row>
    <row r="25" customFormat="false" ht="15" hidden="false" customHeight="false" outlineLevel="0" collapsed="false">
      <c r="A25" s="18" t="n">
        <f aca="false">Data!A22</f>
        <v>2007</v>
      </c>
      <c r="B25" s="12"/>
      <c r="C25" s="16" t="n">
        <f aca="false">Data!G22</f>
        <v>214925.4469</v>
      </c>
      <c r="D25" s="16" t="n">
        <f aca="false">B25 - C25</f>
        <v>-214925.4469</v>
      </c>
    </row>
    <row r="26" customFormat="false" ht="15" hidden="false" customHeight="false" outlineLevel="0" collapsed="false">
      <c r="A26" s="18" t="n">
        <f aca="false">Data!A23</f>
        <v>2008</v>
      </c>
      <c r="B26" s="12"/>
      <c r="C26" s="16" t="n">
        <f aca="false">Data!G23</f>
        <v>191471.974</v>
      </c>
      <c r="D26" s="16" t="n">
        <f aca="false">B26 - C26</f>
        <v>-191471.974</v>
      </c>
    </row>
    <row r="27" customFormat="false" ht="15" hidden="false" customHeight="false" outlineLevel="0" collapsed="false">
      <c r="A27" s="18" t="n">
        <f aca="false">Data!A24</f>
        <v>2009</v>
      </c>
      <c r="B27" s="12"/>
      <c r="C27" s="16" t="n">
        <f aca="false">Data!G24</f>
        <v>205028.942</v>
      </c>
      <c r="D27" s="16" t="n">
        <f aca="false">B27 - C27</f>
        <v>-205028.942</v>
      </c>
    </row>
    <row r="28" customFormat="false" ht="15" hidden="false" customHeight="false" outlineLevel="0" collapsed="false">
      <c r="A28" s="18" t="n">
        <f aca="false">Data!A25</f>
        <v>2010</v>
      </c>
      <c r="B28" s="12"/>
      <c r="C28" s="16" t="n">
        <f aca="false">Data!G25</f>
        <v>278369.31</v>
      </c>
      <c r="D28" s="16" t="n">
        <f aca="false">B28 - C28</f>
        <v>-278369.31</v>
      </c>
    </row>
    <row r="29" customFormat="false" ht="15" hidden="false" customHeight="false" outlineLevel="0" collapsed="false">
      <c r="A29" s="18" t="n">
        <f aca="false">Data!A26</f>
        <v>2011</v>
      </c>
      <c r="B29" s="12"/>
      <c r="C29" s="16" t="n">
        <f aca="false">Data!G26</f>
        <v>213621.9</v>
      </c>
      <c r="D29" s="16" t="n">
        <f aca="false">B29 - C29</f>
        <v>-213621.9</v>
      </c>
    </row>
    <row r="30" customFormat="false" ht="15" hidden="false" customHeight="false" outlineLevel="0" collapsed="false">
      <c r="A30" s="18" t="n">
        <f aca="false">Data!A27</f>
        <v>2012</v>
      </c>
      <c r="B30" s="12"/>
      <c r="C30" s="16" t="n">
        <f aca="false">Data!G27</f>
        <v>220621.054</v>
      </c>
      <c r="D30" s="16" t="n">
        <f aca="false">B30 - C30</f>
        <v>-220621.054</v>
      </c>
    </row>
    <row r="31" customFormat="false" ht="15" hidden="false" customHeight="false" outlineLevel="0" collapsed="false">
      <c r="A31" s="18" t="n">
        <f aca="false">Data!A28</f>
        <v>2013</v>
      </c>
      <c r="B31" s="12"/>
      <c r="C31" s="16" t="n">
        <f aca="false">Data!G28</f>
        <v>228894.769</v>
      </c>
      <c r="D31" s="16" t="n">
        <f aca="false">B31 - C31</f>
        <v>-228894.769</v>
      </c>
    </row>
    <row r="32" customFormat="false" ht="15" hidden="false" customHeight="false" outlineLevel="0" collapsed="false">
      <c r="A32" s="18" t="n">
        <f aca="false">Data!A29</f>
        <v>2014</v>
      </c>
      <c r="B32" s="12"/>
      <c r="C32" s="16" t="n">
        <f aca="false">Data!G29</f>
        <v>234758.0897</v>
      </c>
      <c r="D32" s="16" t="n">
        <f aca="false">B32 - C32</f>
        <v>-234758.0897</v>
      </c>
    </row>
    <row r="33" customFormat="false" ht="15" hidden="false" customHeight="false" outlineLevel="0" collapsed="false">
      <c r="A33" s="18" t="n">
        <f aca="false">Data!A30</f>
        <v>2015</v>
      </c>
      <c r="B33" s="12"/>
      <c r="C33" s="16" t="n">
        <f aca="false">Data!G30</f>
        <v>255996.4</v>
      </c>
      <c r="D33" s="16" t="n">
        <f aca="false">B33 - C33</f>
        <v>-255996.4</v>
      </c>
    </row>
    <row r="34" customFormat="false" ht="15" hidden="false" customHeight="false" outlineLevel="0" collapsed="false">
      <c r="A34" s="18" t="n">
        <f aca="false">Data!A31</f>
        <v>2016</v>
      </c>
      <c r="B34" s="12"/>
      <c r="C34" s="16" t="n">
        <f aca="false">Data!G31</f>
        <v>220734.979</v>
      </c>
      <c r="D34" s="16" t="n">
        <f aca="false">B34 - C34</f>
        <v>-220734.979</v>
      </c>
    </row>
    <row r="35" customFormat="false" ht="15" hidden="false" customHeight="false" outlineLevel="0" collapsed="false">
      <c r="A35" s="18" t="n">
        <f aca="false">Data!A32</f>
        <v>2017</v>
      </c>
      <c r="B35" s="12"/>
      <c r="C35" s="16" t="n">
        <f aca="false">Data!G32</f>
        <v>422091.696</v>
      </c>
      <c r="D35" s="16" t="n">
        <f aca="false">B35 - C35</f>
        <v>-422091.696</v>
      </c>
    </row>
    <row r="36" customFormat="false" ht="15" hidden="false" customHeight="false" outlineLevel="0" collapsed="false">
      <c r="A36" s="18" t="n">
        <f aca="false">Data!A33</f>
        <v>2018</v>
      </c>
      <c r="B36" s="12"/>
      <c r="C36" s="16" t="n">
        <f aca="false">Data!G33</f>
        <v>297501.913</v>
      </c>
      <c r="D36" s="16" t="n">
        <f aca="false">B36 - C36</f>
        <v>-297501.913</v>
      </c>
    </row>
    <row r="37" customFormat="false" ht="15" hidden="false" customHeight="false" outlineLevel="0" collapsed="false">
      <c r="A37" s="18" t="n">
        <f aca="false">Data!A34</f>
        <v>2019</v>
      </c>
      <c r="B37" s="12"/>
      <c r="C37" s="16" t="n">
        <f aca="false">Data!G34</f>
        <v>160272.085</v>
      </c>
      <c r="D37" s="16" t="n">
        <f aca="false">B37 - C37</f>
        <v>-160272.085</v>
      </c>
    </row>
    <row r="38" customFormat="false" ht="15" hidden="false" customHeight="false" outlineLevel="0" collapsed="false">
      <c r="A38" s="18" t="n">
        <f aca="false">Data!A35</f>
        <v>2020</v>
      </c>
      <c r="B38" s="12"/>
      <c r="C38" s="16" t="n">
        <f aca="false">Data!G35</f>
        <v>161233.338</v>
      </c>
      <c r="D38" s="16" t="n">
        <f aca="false">B38 - C38</f>
        <v>-161233.338</v>
      </c>
    </row>
    <row r="39" customFormat="false" ht="15" hidden="false" customHeight="false" outlineLevel="0" collapsed="false">
      <c r="A39" s="18" t="n">
        <f aca="false">Data!A36</f>
        <v>2021</v>
      </c>
      <c r="B39" s="12"/>
      <c r="C39" s="16" t="n">
        <f aca="false">Data!G36</f>
        <v>217055.7397</v>
      </c>
      <c r="D39" s="16" t="n">
        <f aca="false">B39 - C39</f>
        <v>-217055.7397</v>
      </c>
    </row>
    <row r="40" customFormat="false" ht="15" hidden="false" customHeight="false" outlineLevel="0" collapsed="false">
      <c r="A40" s="18" t="n">
        <f aca="false">Data!A37</f>
        <v>2022</v>
      </c>
      <c r="B40" s="12"/>
      <c r="C40" s="16" t="n">
        <f aca="false">Data!G37</f>
        <v>127543.6</v>
      </c>
      <c r="D40" s="16" t="n">
        <f aca="false">B40 - C40</f>
        <v>-127543.6</v>
      </c>
    </row>
    <row r="41" customFormat="false" ht="15" hidden="false" customHeight="false" outlineLevel="0" collapsed="false">
      <c r="A41" s="18" t="n">
        <f aca="false">Data!A38</f>
        <v>2023</v>
      </c>
      <c r="B41" s="12"/>
      <c r="C41" s="16" t="n">
        <f aca="false">Data!G38</f>
        <v>116941.9</v>
      </c>
      <c r="D41" s="16" t="n">
        <f aca="false">B41 - C41</f>
        <v>-116941.9</v>
      </c>
    </row>
    <row r="43" customFormat="false" ht="15" hidden="false" customHeight="false" outlineLevel="0" collapsed="false">
      <c r="A43" s="17" t="s">
        <v>68</v>
      </c>
    </row>
    <row r="44" customFormat="false" ht="15" hidden="false" customHeight="false" outlineLevel="0" collapsed="false">
      <c r="A44" s="2" t="s">
        <v>103</v>
      </c>
      <c r="B44" s="2"/>
      <c r="C44" s="2"/>
      <c r="D44" s="2"/>
    </row>
  </sheetData>
  <mergeCells count="3">
    <mergeCell ref="A1:D1"/>
    <mergeCell ref="A2:D2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17.35" hidden="false" customHeight="false" outlineLevel="0" collapsed="false">
      <c r="A1" s="1" t="s">
        <v>104</v>
      </c>
      <c r="B1" s="1"/>
      <c r="C1" s="1"/>
    </row>
    <row r="2" customFormat="false" ht="15" hidden="false" customHeight="false" outlineLevel="0" collapsed="false">
      <c r="A2" s="2" t="s">
        <v>105</v>
      </c>
      <c r="B2" s="2"/>
      <c r="C2" s="2"/>
    </row>
    <row r="4" customFormat="false" ht="15" hidden="false" customHeight="false" outlineLevel="0" collapsed="false">
      <c r="A4" s="5" t="s">
        <v>88</v>
      </c>
      <c r="B4" s="5" t="s">
        <v>106</v>
      </c>
      <c r="C4" s="5" t="s">
        <v>36</v>
      </c>
    </row>
    <row r="5" customFormat="false" ht="39.75" hidden="false" customHeight="true" outlineLevel="0" collapsed="false">
      <c r="A5" s="7" t="s">
        <v>107</v>
      </c>
      <c r="B5" s="19"/>
      <c r="C5" s="7" t="s">
        <v>108</v>
      </c>
    </row>
    <row r="6" customFormat="false" ht="39.75" hidden="false" customHeight="true" outlineLevel="0" collapsed="false">
      <c r="A6" s="7" t="s">
        <v>109</v>
      </c>
      <c r="B6" s="19"/>
      <c r="C6" s="7"/>
    </row>
    <row r="7" customFormat="false" ht="39.75" hidden="false" customHeight="true" outlineLevel="0" collapsed="false">
      <c r="A7" s="7" t="s">
        <v>110</v>
      </c>
      <c r="B7" s="19"/>
      <c r="C7" s="7" t="s">
        <v>111</v>
      </c>
    </row>
    <row r="8" customFormat="false" ht="39.75" hidden="false" customHeight="true" outlineLevel="0" collapsed="false">
      <c r="A8" s="7" t="s">
        <v>112</v>
      </c>
      <c r="B8" s="19"/>
      <c r="C8" s="7" t="s">
        <v>113</v>
      </c>
    </row>
    <row r="9" customFormat="false" ht="39.75" hidden="false" customHeight="true" outlineLevel="0" collapsed="false">
      <c r="A9" s="7" t="s">
        <v>114</v>
      </c>
      <c r="B9" s="19"/>
      <c r="C9" s="7" t="s">
        <v>115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116</v>
      </c>
      <c r="B1" s="1"/>
      <c r="C1" s="1"/>
    </row>
    <row r="2" customFormat="false" ht="15" hidden="false" customHeight="false" outlineLevel="0" collapsed="false">
      <c r="A2" s="2" t="s">
        <v>117</v>
      </c>
      <c r="B2" s="2"/>
      <c r="C2" s="2"/>
    </row>
    <row r="4" customFormat="false" ht="15" hidden="false" customHeight="false" outlineLevel="0" collapsed="false">
      <c r="A4" s="5" t="s">
        <v>88</v>
      </c>
      <c r="B4" s="5" t="s">
        <v>118</v>
      </c>
      <c r="C4" s="5" t="s">
        <v>36</v>
      </c>
    </row>
    <row r="5" customFormat="false" ht="43.5" hidden="false" customHeight="true" outlineLevel="0" collapsed="false">
      <c r="A5" s="7" t="s">
        <v>119</v>
      </c>
      <c r="B5" s="14"/>
      <c r="C5" s="13" t="s">
        <v>120</v>
      </c>
    </row>
    <row r="6" customFormat="false" ht="43.5" hidden="false" customHeight="true" outlineLevel="0" collapsed="false">
      <c r="A6" s="7" t="s">
        <v>121</v>
      </c>
      <c r="B6" s="14"/>
      <c r="C6" s="13" t="s">
        <v>122</v>
      </c>
    </row>
    <row r="7" customFormat="false" ht="43.5" hidden="false" customHeight="true" outlineLevel="0" collapsed="false">
      <c r="A7" s="7" t="s">
        <v>123</v>
      </c>
      <c r="B7" s="14"/>
      <c r="C7" s="13"/>
    </row>
    <row r="8" customFormat="false" ht="43.5" hidden="false" customHeight="true" outlineLevel="0" collapsed="false">
      <c r="A8" s="7" t="s">
        <v>124</v>
      </c>
      <c r="B8" s="14"/>
      <c r="C8" s="13" t="s">
        <v>125</v>
      </c>
    </row>
    <row r="9" customFormat="false" ht="43.5" hidden="false" customHeight="true" outlineLevel="0" collapsed="false">
      <c r="A9" s="7" t="s">
        <v>126</v>
      </c>
      <c r="B9" s="14"/>
      <c r="C9" s="13"/>
    </row>
    <row r="10" customFormat="false" ht="43.5" hidden="false" customHeight="true" outlineLevel="0" collapsed="false">
      <c r="A10" s="7" t="s">
        <v>127</v>
      </c>
      <c r="B10" s="14"/>
      <c r="C10" s="13" t="s">
        <v>128</v>
      </c>
    </row>
    <row r="11" customFormat="false" ht="43.5" hidden="false" customHeight="true" outlineLevel="0" collapsed="false">
      <c r="A11" s="7" t="s">
        <v>129</v>
      </c>
      <c r="B11" s="14"/>
      <c r="C11" s="13" t="s">
        <v>130</v>
      </c>
    </row>
    <row r="12" customFormat="false" ht="43.5" hidden="false" customHeight="true" outlineLevel="0" collapsed="false">
      <c r="A12" s="7" t="s">
        <v>131</v>
      </c>
      <c r="B12" s="14"/>
      <c r="C12" s="13" t="s">
        <v>132</v>
      </c>
    </row>
    <row r="13" customFormat="false" ht="43.5" hidden="false" customHeight="true" outlineLevel="0" collapsed="false">
      <c r="A13" s="7" t="s">
        <v>133</v>
      </c>
      <c r="B13" s="14"/>
      <c r="C13" s="13" t="s">
        <v>134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2026-05-31T21:42:07Z</dcterms:created>
  <dc:creator>openpyxl</dc:creator>
  <dc:description/>
  <dc:language>en-US</dc:language>
  <cp:lastModifiedBy/>
  <dcterms:modified xsi:type="dcterms:W3CDTF">2026-05-31T21:42:07Z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
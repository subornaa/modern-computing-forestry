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bout" sheetId="1" state="visible" r:id="rId3"/>
    <sheet name="ReadMe" sheetId="2" state="visible" r:id="rId4"/>
    <sheet name="Data" sheetId="3" state="visible" r:id="rId5"/>
    <sheet name="Ex1_Inspect" sheetId="4" state="visible" r:id="rId6"/>
    <sheet name="Ex3_Formulas" sheetId="5" state="visible" r:id="rId7"/>
    <sheet name="Ex4_SizeClass" sheetId="6" state="visible" r:id="rId8"/>
    <sheet name="Ex5_Lookup" sheetId="7" state="visible" r:id="rId9"/>
  </sheets>
  <definedNames>
    <definedName function="false" hidden="true" localSheetId="2" name="_xlnm._FilterDatabase" vbProcedure="false">Data!$A$1:$H$180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<sst xmlns="http://schemas.openxmlformats.org/spreadsheetml/2006/main" count="1225" uniqueCount="138">
  <si>
    <t xml:space="preserve">Chapter 2 — Instructor Solutions</t>
  </si>
  <si>
    <t xml:space="preserve">Completed worked answers. NOT for distribution to learners.</t>
  </si>
  <si>
    <t xml:space="preserve">Dataset</t>
  </si>
  <si>
    <t xml:space="preserve">Forest Resources of Ontario 2021 — Statistics 1 (teaching extract: Region 3E only)</t>
  </si>
  <si>
    <t xml:space="preserve">Publisher</t>
  </si>
  <si>
    <t xml:space="preserve">Ministry of Natural Resources and Forestry, Government of Ontario</t>
  </si>
  <si>
    <t xml:space="preserve">Source</t>
  </si>
  <si>
    <t xml:space="preserve">Government of Ontario / Ontario Open Data Catalogue</t>
  </si>
  <si>
    <t xml:space="preserve">Source URL</t>
  </si>
  <si>
    <t xml:space="preserve">https://data.ontario.ca/dataset/forest-resources-of-ontario-2021</t>
  </si>
  <si>
    <t xml:space="preserve">Licence</t>
  </si>
  <si>
    <t xml:space="preserve">Open Government Licence — Ontario</t>
  </si>
  <si>
    <t xml:space="preserve">Rows in this extract</t>
  </si>
  <si>
    <t xml:space="preserve">179 (one row per region × ownership × seral × forest type × age class combination)</t>
  </si>
  <si>
    <t xml:space="preserve">Columns</t>
  </si>
  <si>
    <t xml:space="preserve">8 (landscape_guide_region, own_group, LGDS, SERAL_NAME, PFT, PFTName, AC_10, SumOfTotalHa)</t>
  </si>
  <si>
    <t xml:space="preserve">Coverage</t>
  </si>
  <si>
    <t xml:space="preserve">Landscape guide region 3E (Crown land only). The full multi-region file is available at the catalogue URL.</t>
  </si>
  <si>
    <t xml:space="preserve">Units</t>
  </si>
  <si>
    <t xml:space="preserve">Hectares (ha) for SumOfTotalHa. AC_10 is the age-class midpoint in years.</t>
  </si>
  <si>
    <t xml:space="preserve">Cite as</t>
  </si>
  <si>
    <t xml:space="preserve">Ministry of Natural Resources and Forestry. Forest Resources of Ontario 2021. Government of Ontario.</t>
  </si>
  <si>
    <t xml:space="preserve">Retrieved</t>
  </si>
  <si>
    <t xml:space="preserve">2026-05-24</t>
  </si>
  <si>
    <t xml:space="preserve">Adapted for</t>
  </si>
  <si>
    <t xml:space="preserve">FRST 232 — Computer Applications in Forestry (UBC), Chapter 2 of the OER book</t>
  </si>
  <si>
    <t xml:space="preserve">How to use this file</t>
  </si>
  <si>
    <t xml:space="preserve">This file is for instructor reference only. It contains completed formulas and worked answers. Hide or remove this file before distributing materials to learners.</t>
  </si>
  <si>
    <t xml:space="preserve">Variable Dictionary</t>
  </si>
  <si>
    <t xml:space="preserve">One row per variable. Read this before you start any analysis.</t>
  </si>
  <si>
    <t xml:space="preserve">Variable</t>
  </si>
  <si>
    <t xml:space="preserve">Description</t>
  </si>
  <si>
    <t xml:space="preserve">Unit</t>
  </si>
  <si>
    <t xml:space="preserve">Type</t>
  </si>
  <si>
    <t xml:space="preserve">Notes</t>
  </si>
  <si>
    <t xml:space="preserve">landscape_guide_region</t>
  </si>
  <si>
    <t xml:space="preserve">Ontario landscape guide region (here: 3E only)</t>
  </si>
  <si>
    <t xml:space="preserve">code</t>
  </si>
  <si>
    <t xml:space="preserve">text</t>
  </si>
  <si>
    <t xml:space="preserve">The full file has additional regions; this teaching extract has only 3E.</t>
  </si>
  <si>
    <t xml:space="preserve">own_group</t>
  </si>
  <si>
    <t xml:space="preserve">Ownership group (here: CRN = Crown only)</t>
  </si>
  <si>
    <t xml:space="preserve">CRN = Crown; OTH = Other; PRK = Park (only CRN appears in this extract).</t>
  </si>
  <si>
    <t xml:space="preserve">LGDS</t>
  </si>
  <si>
    <t xml:space="preserve">Seral stage code</t>
  </si>
  <si>
    <t xml:space="preserve">P = Pre-sapling; S = Sapling; I = Immature; M = Mature; L = Late successional.</t>
  </si>
  <si>
    <t xml:space="preserve">SERAL_NAME</t>
  </si>
  <si>
    <t xml:space="preserve">Human-readable seral stage name</t>
  </si>
  <si>
    <t xml:space="preserve">name</t>
  </si>
  <si>
    <t xml:space="preserve">Pre-Sapling, Sapling, Immature, Mature, Late Successional.</t>
  </si>
  <si>
    <t xml:space="preserve">PFT</t>
  </si>
  <si>
    <t xml:space="preserve">Provincial forest type code (3-letter)</t>
  </si>
  <si>
    <t xml:space="preserve">8 codes in this extract: PJK, MCU, MCL, MIX, POP, BWT, PWR, TOL.</t>
  </si>
  <si>
    <t xml:space="preserve">PFTName</t>
  </si>
  <si>
    <t xml:space="preserve">Human-readable forest type name</t>
  </si>
  <si>
    <t xml:space="preserve">Jack Pine, Conifer Upland, Conifer Lowland, Mixedwood, Poplar, White Birch, Red and White Pine, Tolerant Hardwoods.</t>
  </si>
  <si>
    <t xml:space="preserve">AC_10</t>
  </si>
  <si>
    <t xml:space="preserve">Age-class midpoint in 10-year bins</t>
  </si>
  <si>
    <t xml:space="preserve">year</t>
  </si>
  <si>
    <t xml:space="preserve">number</t>
  </si>
  <si>
    <t xml:space="preserve">Integer (e.g., 25 means the 20-30 year age bin).</t>
  </si>
  <si>
    <t xml:space="preserve">SumOfTotalHa</t>
  </si>
  <si>
    <t xml:space="preserve">Total area in hectares for that combination of region × ownership × seral × forest type × age class</t>
  </si>
  <si>
    <t xml:space="preserve">hectares</t>
  </si>
  <si>
    <t xml:space="preserve">Cross-classification cell value. Strong right skew (mean &gt;&gt; median).</t>
  </si>
  <si>
    <t xml:space="preserve">3E</t>
  </si>
  <si>
    <t xml:space="preserve">CRN</t>
  </si>
  <si>
    <t xml:space="preserve">I</t>
  </si>
  <si>
    <t xml:space="preserve">Immature</t>
  </si>
  <si>
    <t xml:space="preserve">BWT</t>
  </si>
  <si>
    <t xml:space="preserve">White Birch</t>
  </si>
  <si>
    <t xml:space="preserve">MCL</t>
  </si>
  <si>
    <t xml:space="preserve">Conifer Lowland</t>
  </si>
  <si>
    <t xml:space="preserve">MCU</t>
  </si>
  <si>
    <t xml:space="preserve">Conifer Upland</t>
  </si>
  <si>
    <t xml:space="preserve">MIX</t>
  </si>
  <si>
    <t xml:space="preserve">Mixedwood</t>
  </si>
  <si>
    <t xml:space="preserve">PJK</t>
  </si>
  <si>
    <t xml:space="preserve">Jack Pine</t>
  </si>
  <si>
    <t xml:space="preserve">POP</t>
  </si>
  <si>
    <t xml:space="preserve">Poplar</t>
  </si>
  <si>
    <t xml:space="preserve">PWR</t>
  </si>
  <si>
    <t xml:space="preserve">Red and White Pine</t>
  </si>
  <si>
    <t xml:space="preserve">TOL</t>
  </si>
  <si>
    <t xml:space="preserve">Tolerant Hardwoods</t>
  </si>
  <si>
    <t xml:space="preserve">L</t>
  </si>
  <si>
    <t xml:space="preserve">Late Successional</t>
  </si>
  <si>
    <t xml:space="preserve">M</t>
  </si>
  <si>
    <t xml:space="preserve">Mature</t>
  </si>
  <si>
    <t xml:space="preserve">P</t>
  </si>
  <si>
    <t xml:space="preserve">Pre-Sapling</t>
  </si>
  <si>
    <t xml:space="preserve">S</t>
  </si>
  <si>
    <t xml:space="preserve">Sapling</t>
  </si>
  <si>
    <t xml:space="preserve">Exercise 1 — Inspect (Solutions)</t>
  </si>
  <si>
    <t xml:space="preserve">Worked answers for instructor reference.</t>
  </si>
  <si>
    <t xml:space="preserve">Question</t>
  </si>
  <si>
    <t xml:space="preserve">Answer</t>
  </si>
  <si>
    <t xml:space="preserve">How many rows of data are there (excluding header)?</t>
  </si>
  <si>
    <t xml:space="preserve">How many columns are there?</t>
  </si>
  <si>
    <t xml:space="preserve">8</t>
  </si>
  <si>
    <t xml:space="preserve">How many unique forest types (PFTName values)?</t>
  </si>
  <si>
    <t xml:space="preserve">Which landscape guide region is in this file?</t>
  </si>
  <si>
    <t xml:space="preserve">What is the unit of SumOfTotalHa?</t>
  </si>
  <si>
    <t xml:space="preserve">Hectares (ha)</t>
  </si>
  <si>
    <t xml:space="preserve">Where does this dataset come from?</t>
  </si>
  <si>
    <t xml:space="preserve">Exercise 3 — Formulas (Solutions)</t>
  </si>
  <si>
    <t xml:space="preserve">Task</t>
  </si>
  <si>
    <t xml:space="preserve">Formula</t>
  </si>
  <si>
    <t xml:space="preserve">Result</t>
  </si>
  <si>
    <t xml:space="preserve">Total SumOfTotalHa</t>
  </si>
  <si>
    <t xml:space="preserve"> =SUM(Data!$H$2:$H$180)</t>
  </si>
  <si>
    <t xml:space="preserve">Mean SumOfTotalHa</t>
  </si>
  <si>
    <t xml:space="preserve"> =AVERAGE(Data!$H$2:$H$180)</t>
  </si>
  <si>
    <t xml:space="preserve">Median SumOfTotalHa</t>
  </si>
  <si>
    <t xml:space="preserve"> =MEDIAN(Data!$H$2:$H$180)</t>
  </si>
  <si>
    <t xml:space="preserve">Max SumOfTotalHa</t>
  </si>
  <si>
    <t xml:space="preserve"> =MAX(Data!$H$2:$H$180)</t>
  </si>
  <si>
    <t xml:space="preserve">Count of rows</t>
  </si>
  <si>
    <t xml:space="preserve"> =COUNT(Data!$H$2:$H$180)</t>
  </si>
  <si>
    <t xml:space="preserve">Number of Jack Pine rows</t>
  </si>
  <si>
    <t xml:space="preserve"> =COUNTIF(Data!$F$2:$F$180, "Jack Pine")</t>
  </si>
  <si>
    <t xml:space="preserve">Total area of Mature</t>
  </si>
  <si>
    <t xml:space="preserve"> =SUMIF(Data!$D$2:$D$180, "Mature", Data!$H$2:$H$180)</t>
  </si>
  <si>
    <t xml:space="preserve">Average area for Jack Pine</t>
  </si>
  <si>
    <t xml:space="preserve"> =AVERAGEIF(Data!$F$2:$F$180, "Jack Pine", Data!$H$2:$H$180)</t>
  </si>
  <si>
    <t xml:space="preserve">Total Mature Jack Pine</t>
  </si>
  <si>
    <t xml:space="preserve"> =SUMIFS(Data!$H$2:$H$180, Data!$F$2:$F$180, "Jack Pine", Data!$D$2:$D$180, "Mature")</t>
  </si>
  <si>
    <t xml:space="preserve">Older mature jack pine (AC_10 &gt;= 95)</t>
  </si>
  <si>
    <t xml:space="preserve"> =SUMIFS(Data!$H$2:$H$180, Data!$F$2:$F$180, "Jack Pine", Data!$D$2:$D$180, "Mature", Data!$G$2:$G$180, "&gt;=95")</t>
  </si>
  <si>
    <t xml:space="preserve">Exercise 4 — Classify rows with IFS (Solutions)</t>
  </si>
  <si>
    <t xml:space="preserve">size_class</t>
  </si>
  <si>
    <t xml:space="preserve">Count of 'small'</t>
  </si>
  <si>
    <t xml:space="preserve">Count of 'medium'</t>
  </si>
  <si>
    <t xml:space="preserve">Count of 'large'</t>
  </si>
  <si>
    <t xml:space="preserve">Exercise 5 — Lookup (Solutions)</t>
  </si>
  <si>
    <t xml:space="preserve">PFT code</t>
  </si>
  <si>
    <t xml:space="preserve">PFT (from Data)</t>
  </si>
  <si>
    <t xml:space="preserve">Looked-up name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</si>
</sst>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#,##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B4332"/>
      <name val="Calibri"/>
      <family val="0"/>
      <charset val="1"/>
    </font>
    <font>
      <i val="true"/>
      <sz val="10"/>
      <color rgb="FF595959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1B4332"/>
      <name val="Calibri"/>
      <family val="0"/>
      <charset val="1"/>
    </font>
    <font>
      <sz val="10"/>
      <name val="Consolas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B4332"/>
        <bgColor rgb="FF333300"/>
      </patternFill>
    </fill>
    <fill>
      <patternFill patternType="solid">
        <fgColor rgb="FFD8F3DC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B433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8F3D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433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22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2" customFormat="false" ht="15" hidden="false" customHeight="false" outlineLevel="0" collapsed="false">
      <c r="A2" s="2" t="s">
        <v>1</v>
      </c>
      <c r="B2" s="2"/>
      <c r="C2" s="2"/>
      <c r="D2" s="2"/>
    </row>
    <row r="3" customFormat="false" ht="30" hidden="false" customHeight="true" outlineLevel="0" collapsed="false">
      <c r="A3" s="3" t="s">
        <v>2</v>
      </c>
      <c r="B3" s="4" t="s">
        <v>3</v>
      </c>
      <c r="C3" s="4"/>
      <c r="D3" s="4"/>
    </row>
    <row r="4" customFormat="false" ht="30" hidden="false" customHeight="true" outlineLevel="0" collapsed="false">
      <c r="A4" s="3" t="s">
        <v>4</v>
      </c>
      <c r="B4" s="4" t="s">
        <v>5</v>
      </c>
      <c r="C4" s="4"/>
      <c r="D4" s="4"/>
    </row>
    <row r="5" customFormat="false" ht="30" hidden="false" customHeight="true" outlineLevel="0" collapsed="false">
      <c r="A5" s="3" t="s">
        <v>6</v>
      </c>
      <c r="B5" s="4" t="s">
        <v>7</v>
      </c>
      <c r="C5" s="4"/>
      <c r="D5" s="4"/>
    </row>
    <row r="6" customFormat="false" ht="30" hidden="false" customHeight="true" outlineLevel="0" collapsed="false">
      <c r="A6" s="3" t="s">
        <v>8</v>
      </c>
      <c r="B6" s="4" t="s">
        <v>9</v>
      </c>
      <c r="C6" s="4"/>
      <c r="D6" s="4"/>
    </row>
    <row r="7" customFormat="false" ht="30" hidden="false" customHeight="true" outlineLevel="0" collapsed="false">
      <c r="A7" s="3" t="s">
        <v>10</v>
      </c>
      <c r="B7" s="4" t="s">
        <v>11</v>
      </c>
      <c r="C7" s="4"/>
      <c r="D7" s="4"/>
    </row>
    <row r="8" customFormat="false" ht="30" hidden="false" customHeight="true" outlineLevel="0" collapsed="false">
      <c r="A8" s="3" t="s">
        <v>12</v>
      </c>
      <c r="B8" s="4" t="s">
        <v>13</v>
      </c>
      <c r="C8" s="4"/>
      <c r="D8" s="4"/>
    </row>
    <row r="9" customFormat="false" ht="30" hidden="false" customHeight="true" outlineLevel="0" collapsed="false">
      <c r="A9" s="3" t="s">
        <v>14</v>
      </c>
      <c r="B9" s="4" t="s">
        <v>15</v>
      </c>
      <c r="C9" s="4"/>
      <c r="D9" s="4"/>
    </row>
    <row r="10" customFormat="false" ht="30" hidden="false" customHeight="true" outlineLevel="0" collapsed="false">
      <c r="A10" s="3" t="s">
        <v>16</v>
      </c>
      <c r="B10" s="4" t="s">
        <v>17</v>
      </c>
      <c r="C10" s="4"/>
      <c r="D10" s="4"/>
    </row>
    <row r="11" customFormat="false" ht="30" hidden="false" customHeight="true" outlineLevel="0" collapsed="false">
      <c r="A11" s="3" t="s">
        <v>18</v>
      </c>
      <c r="B11" s="4" t="s">
        <v>19</v>
      </c>
      <c r="C11" s="4"/>
      <c r="D11" s="4"/>
    </row>
    <row r="12" customFormat="false" ht="30" hidden="false" customHeight="true" outlineLevel="0" collapsed="false">
      <c r="A12" s="3" t="s">
        <v>20</v>
      </c>
      <c r="B12" s="4" t="s">
        <v>21</v>
      </c>
      <c r="C12" s="4"/>
      <c r="D12" s="4"/>
    </row>
    <row r="13" customFormat="false" ht="30" hidden="false" customHeight="true" outlineLevel="0" collapsed="false">
      <c r="A13" s="3" t="s">
        <v>22</v>
      </c>
      <c r="B13" s="4" t="s">
        <v>23</v>
      </c>
      <c r="C13" s="4"/>
      <c r="D13" s="4"/>
    </row>
    <row r="14" customFormat="false" ht="30" hidden="false" customHeight="true" outlineLevel="0" collapsed="false">
      <c r="A14" s="3" t="s">
        <v>24</v>
      </c>
      <c r="B14" s="4" t="s">
        <v>25</v>
      </c>
      <c r="C14" s="4"/>
      <c r="D14" s="4"/>
    </row>
    <row r="16" customFormat="false" ht="30" hidden="false" customHeight="true" outlineLevel="0" collapsed="false">
      <c r="A16" s="3" t="s">
        <v>26</v>
      </c>
      <c r="B16" s="4" t="s">
        <v>27</v>
      </c>
      <c r="C16" s="4"/>
      <c r="D16" s="4"/>
    </row>
  </sheetData>
  <mergeCells count="15">
    <mergeCell ref="A1:D1"/>
    <mergeCell ref="A2:D2"/>
    <mergeCell ref="B3:D3"/>
    <mergeCell ref="B4:D4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B14:D14"/>
    <mergeCell ref="B16:D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50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50"/>
  </cols>
  <sheetData>
    <row r="1" customFormat="false" ht="17.35" hidden="false" customHeight="false" outlineLevel="0" collapsed="false">
      <c r="A1" s="1" t="s">
        <v>28</v>
      </c>
      <c r="B1" s="1"/>
      <c r="C1" s="1"/>
      <c r="D1" s="1"/>
      <c r="E1" s="1"/>
    </row>
    <row r="2" customFormat="false" ht="15" hidden="false" customHeight="false" outlineLevel="0" collapsed="false">
      <c r="A2" s="2" t="s">
        <v>29</v>
      </c>
      <c r="B2" s="2"/>
      <c r="C2" s="2"/>
      <c r="D2" s="2"/>
      <c r="E2" s="2"/>
    </row>
    <row r="4" customFormat="false" ht="25.5" hidden="false" customHeight="true" outlineLevel="0" collapsed="false">
      <c r="A4" s="5" t="s">
        <v>30</v>
      </c>
      <c r="B4" s="5" t="s">
        <v>31</v>
      </c>
      <c r="C4" s="5" t="s">
        <v>32</v>
      </c>
      <c r="D4" s="5" t="s">
        <v>33</v>
      </c>
      <c r="E4" s="5" t="s">
        <v>34</v>
      </c>
    </row>
    <row r="5" customFormat="false" ht="28.35" hidden="false" customHeight="false" outlineLevel="0" collapsed="false">
      <c r="A5" s="6" t="s">
        <v>35</v>
      </c>
      <c r="B5" s="7" t="s">
        <v>36</v>
      </c>
      <c r="C5" s="7" t="s">
        <v>37</v>
      </c>
      <c r="D5" s="7" t="s">
        <v>38</v>
      </c>
      <c r="E5" s="7" t="s">
        <v>39</v>
      </c>
    </row>
    <row r="6" customFormat="false" ht="28.35" hidden="false" customHeight="false" outlineLevel="0" collapsed="false">
      <c r="A6" s="8" t="s">
        <v>40</v>
      </c>
      <c r="B6" s="9" t="s">
        <v>41</v>
      </c>
      <c r="C6" s="9" t="s">
        <v>37</v>
      </c>
      <c r="D6" s="9" t="s">
        <v>38</v>
      </c>
      <c r="E6" s="9" t="s">
        <v>42</v>
      </c>
    </row>
    <row r="7" customFormat="false" ht="28.35" hidden="false" customHeight="false" outlineLevel="0" collapsed="false">
      <c r="A7" s="6" t="s">
        <v>43</v>
      </c>
      <c r="B7" s="7" t="s">
        <v>44</v>
      </c>
      <c r="C7" s="7" t="s">
        <v>37</v>
      </c>
      <c r="D7" s="7" t="s">
        <v>38</v>
      </c>
      <c r="E7" s="7" t="s">
        <v>45</v>
      </c>
    </row>
    <row r="8" customFormat="false" ht="28.35" hidden="false" customHeight="false" outlineLevel="0" collapsed="false">
      <c r="A8" s="8" t="s">
        <v>46</v>
      </c>
      <c r="B8" s="9" t="s">
        <v>47</v>
      </c>
      <c r="C8" s="9" t="s">
        <v>48</v>
      </c>
      <c r="D8" s="9" t="s">
        <v>38</v>
      </c>
      <c r="E8" s="9" t="s">
        <v>49</v>
      </c>
    </row>
    <row r="9" customFormat="false" ht="28.35" hidden="false" customHeight="false" outlineLevel="0" collapsed="false">
      <c r="A9" s="6" t="s">
        <v>50</v>
      </c>
      <c r="B9" s="7" t="s">
        <v>51</v>
      </c>
      <c r="C9" s="7" t="s">
        <v>37</v>
      </c>
      <c r="D9" s="7" t="s">
        <v>38</v>
      </c>
      <c r="E9" s="7" t="s">
        <v>52</v>
      </c>
    </row>
    <row r="10" customFormat="false" ht="41.75" hidden="false" customHeight="false" outlineLevel="0" collapsed="false">
      <c r="A10" s="8" t="s">
        <v>53</v>
      </c>
      <c r="B10" s="9" t="s">
        <v>54</v>
      </c>
      <c r="C10" s="9" t="s">
        <v>48</v>
      </c>
      <c r="D10" s="9" t="s">
        <v>38</v>
      </c>
      <c r="E10" s="9" t="s">
        <v>55</v>
      </c>
    </row>
    <row r="11" customFormat="false" ht="15" hidden="false" customHeight="false" outlineLevel="0" collapsed="false">
      <c r="A11" s="6" t="s">
        <v>56</v>
      </c>
      <c r="B11" s="7" t="s">
        <v>57</v>
      </c>
      <c r="C11" s="7" t="s">
        <v>58</v>
      </c>
      <c r="D11" s="7" t="s">
        <v>59</v>
      </c>
      <c r="E11" s="7" t="s">
        <v>60</v>
      </c>
    </row>
    <row r="12" customFormat="false" ht="28.35" hidden="false" customHeight="false" outlineLevel="0" collapsed="false">
      <c r="A12" s="8" t="s">
        <v>61</v>
      </c>
      <c r="B12" s="9" t="s">
        <v>62</v>
      </c>
      <c r="C12" s="9" t="s">
        <v>63</v>
      </c>
      <c r="D12" s="9" t="s">
        <v>59</v>
      </c>
      <c r="E12" s="9" t="s">
        <v>64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22"/>
    <col collapsed="false" customWidth="true" hidden="false" outlineLevel="0" max="7" min="7" style="0" width="12"/>
    <col collapsed="false" customWidth="true" hidden="false" outlineLevel="0" max="8" min="8" style="0" width="18"/>
  </cols>
  <sheetData>
    <row r="1" customFormat="false" ht="25.5" hidden="false" customHeight="true" outlineLevel="0" collapsed="false">
      <c r="A1" s="5" t="s">
        <v>35</v>
      </c>
      <c r="B1" s="5" t="s">
        <v>40</v>
      </c>
      <c r="C1" s="5" t="s">
        <v>43</v>
      </c>
      <c r="D1" s="5" t="s">
        <v>46</v>
      </c>
      <c r="E1" s="5" t="s">
        <v>50</v>
      </c>
      <c r="F1" s="5" t="s">
        <v>53</v>
      </c>
      <c r="G1" s="5" t="s">
        <v>56</v>
      </c>
      <c r="H1" s="5" t="s">
        <v>61</v>
      </c>
    </row>
    <row r="2" customFormat="false" ht="15" hidden="false" customHeight="false" outlineLevel="0" collapsed="false">
      <c r="A2" s="10" t="s">
        <v>65</v>
      </c>
      <c r="B2" s="10" t="s">
        <v>66</v>
      </c>
      <c r="C2" s="10" t="s">
        <v>67</v>
      </c>
      <c r="D2" s="10" t="s">
        <v>68</v>
      </c>
      <c r="E2" s="10" t="s">
        <v>69</v>
      </c>
      <c r="F2" s="10" t="s">
        <v>70</v>
      </c>
      <c r="G2" s="11" t="n">
        <v>25</v>
      </c>
      <c r="H2" s="12" t="n">
        <v>2184.068878</v>
      </c>
    </row>
    <row r="3" customFormat="false" ht="15" hidden="false" customHeight="false" outlineLevel="0" collapsed="false">
      <c r="A3" s="10" t="s">
        <v>65</v>
      </c>
      <c r="B3" s="10" t="s">
        <v>66</v>
      </c>
      <c r="C3" s="10" t="s">
        <v>67</v>
      </c>
      <c r="D3" s="10" t="s">
        <v>68</v>
      </c>
      <c r="E3" s="10" t="s">
        <v>69</v>
      </c>
      <c r="F3" s="10" t="s">
        <v>70</v>
      </c>
      <c r="G3" s="11" t="n">
        <v>35</v>
      </c>
      <c r="H3" s="12" t="n">
        <v>26085.57404</v>
      </c>
    </row>
    <row r="4" customFormat="false" ht="15" hidden="false" customHeight="false" outlineLevel="0" collapsed="false">
      <c r="A4" s="10" t="s">
        <v>65</v>
      </c>
      <c r="B4" s="10" t="s">
        <v>66</v>
      </c>
      <c r="C4" s="10" t="s">
        <v>67</v>
      </c>
      <c r="D4" s="10" t="s">
        <v>68</v>
      </c>
      <c r="E4" s="10" t="s">
        <v>69</v>
      </c>
      <c r="F4" s="10" t="s">
        <v>70</v>
      </c>
      <c r="G4" s="11" t="n">
        <v>45</v>
      </c>
      <c r="H4" s="12" t="n">
        <v>35013.66681</v>
      </c>
    </row>
    <row r="5" customFormat="false" ht="15" hidden="false" customHeight="false" outlineLevel="0" collapsed="false">
      <c r="A5" s="10" t="s">
        <v>65</v>
      </c>
      <c r="B5" s="10" t="s">
        <v>66</v>
      </c>
      <c r="C5" s="10" t="s">
        <v>67</v>
      </c>
      <c r="D5" s="10" t="s">
        <v>68</v>
      </c>
      <c r="E5" s="10" t="s">
        <v>69</v>
      </c>
      <c r="F5" s="10" t="s">
        <v>70</v>
      </c>
      <c r="G5" s="11" t="n">
        <v>55</v>
      </c>
      <c r="H5" s="12" t="n">
        <v>30931.22745</v>
      </c>
    </row>
    <row r="6" customFormat="false" ht="15" hidden="false" customHeight="false" outlineLevel="0" collapsed="false">
      <c r="A6" s="10" t="s">
        <v>65</v>
      </c>
      <c r="B6" s="10" t="s">
        <v>66</v>
      </c>
      <c r="C6" s="10" t="s">
        <v>67</v>
      </c>
      <c r="D6" s="10" t="s">
        <v>68</v>
      </c>
      <c r="E6" s="10" t="s">
        <v>69</v>
      </c>
      <c r="F6" s="10" t="s">
        <v>70</v>
      </c>
      <c r="G6" s="11" t="n">
        <v>65</v>
      </c>
      <c r="H6" s="12" t="n">
        <v>11447.969</v>
      </c>
    </row>
    <row r="7" customFormat="false" ht="15" hidden="false" customHeight="false" outlineLevel="0" collapsed="false">
      <c r="A7" s="10" t="s">
        <v>65</v>
      </c>
      <c r="B7" s="10" t="s">
        <v>66</v>
      </c>
      <c r="C7" s="10" t="s">
        <v>67</v>
      </c>
      <c r="D7" s="10" t="s">
        <v>68</v>
      </c>
      <c r="E7" s="10" t="s">
        <v>71</v>
      </c>
      <c r="F7" s="10" t="s">
        <v>72</v>
      </c>
      <c r="G7" s="11" t="n">
        <v>35</v>
      </c>
      <c r="H7" s="12" t="n">
        <v>12354.66896</v>
      </c>
    </row>
    <row r="8" customFormat="false" ht="15" hidden="false" customHeight="false" outlineLevel="0" collapsed="false">
      <c r="A8" s="10" t="s">
        <v>65</v>
      </c>
      <c r="B8" s="10" t="s">
        <v>66</v>
      </c>
      <c r="C8" s="10" t="s">
        <v>67</v>
      </c>
      <c r="D8" s="10" t="s">
        <v>68</v>
      </c>
      <c r="E8" s="10" t="s">
        <v>71</v>
      </c>
      <c r="F8" s="10" t="s">
        <v>72</v>
      </c>
      <c r="G8" s="11" t="n">
        <v>45</v>
      </c>
      <c r="H8" s="12" t="n">
        <v>117488.2911</v>
      </c>
    </row>
    <row r="9" customFormat="false" ht="15" hidden="false" customHeight="false" outlineLevel="0" collapsed="false">
      <c r="A9" s="10" t="s">
        <v>65</v>
      </c>
      <c r="B9" s="10" t="s">
        <v>66</v>
      </c>
      <c r="C9" s="10" t="s">
        <v>67</v>
      </c>
      <c r="D9" s="10" t="s">
        <v>68</v>
      </c>
      <c r="E9" s="10" t="s">
        <v>71</v>
      </c>
      <c r="F9" s="10" t="s">
        <v>72</v>
      </c>
      <c r="G9" s="11" t="n">
        <v>55</v>
      </c>
      <c r="H9" s="12" t="n">
        <v>92190.10005</v>
      </c>
    </row>
    <row r="10" customFormat="false" ht="15" hidden="false" customHeight="false" outlineLevel="0" collapsed="false">
      <c r="A10" s="10" t="s">
        <v>65</v>
      </c>
      <c r="B10" s="10" t="s">
        <v>66</v>
      </c>
      <c r="C10" s="10" t="s">
        <v>67</v>
      </c>
      <c r="D10" s="10" t="s">
        <v>68</v>
      </c>
      <c r="E10" s="10" t="s">
        <v>71</v>
      </c>
      <c r="F10" s="10" t="s">
        <v>72</v>
      </c>
      <c r="G10" s="11" t="n">
        <v>65</v>
      </c>
      <c r="H10" s="12" t="n">
        <v>98951.67733</v>
      </c>
    </row>
    <row r="11" customFormat="false" ht="15" hidden="false" customHeight="false" outlineLevel="0" collapsed="false">
      <c r="A11" s="10" t="s">
        <v>65</v>
      </c>
      <c r="B11" s="10" t="s">
        <v>66</v>
      </c>
      <c r="C11" s="10" t="s">
        <v>67</v>
      </c>
      <c r="D11" s="10" t="s">
        <v>68</v>
      </c>
      <c r="E11" s="10" t="s">
        <v>71</v>
      </c>
      <c r="F11" s="10" t="s">
        <v>72</v>
      </c>
      <c r="G11" s="11" t="n">
        <v>75</v>
      </c>
      <c r="H11" s="12" t="n">
        <v>105329.2712</v>
      </c>
    </row>
    <row r="12" customFormat="false" ht="15" hidden="false" customHeight="false" outlineLevel="0" collapsed="false">
      <c r="A12" s="10" t="s">
        <v>65</v>
      </c>
      <c r="B12" s="10" t="s">
        <v>66</v>
      </c>
      <c r="C12" s="10" t="s">
        <v>67</v>
      </c>
      <c r="D12" s="10" t="s">
        <v>68</v>
      </c>
      <c r="E12" s="10" t="s">
        <v>73</v>
      </c>
      <c r="F12" s="10" t="s">
        <v>74</v>
      </c>
      <c r="G12" s="11" t="n">
        <v>25</v>
      </c>
      <c r="H12" s="12" t="n">
        <v>4114.20097</v>
      </c>
    </row>
    <row r="13" customFormat="false" ht="15" hidden="false" customHeight="false" outlineLevel="0" collapsed="false">
      <c r="A13" s="10" t="s">
        <v>65</v>
      </c>
      <c r="B13" s="10" t="s">
        <v>66</v>
      </c>
      <c r="C13" s="10" t="s">
        <v>67</v>
      </c>
      <c r="D13" s="10" t="s">
        <v>68</v>
      </c>
      <c r="E13" s="10" t="s">
        <v>73</v>
      </c>
      <c r="F13" s="10" t="s">
        <v>74</v>
      </c>
      <c r="G13" s="11" t="n">
        <v>35</v>
      </c>
      <c r="H13" s="12" t="n">
        <v>47291.21112</v>
      </c>
    </row>
    <row r="14" customFormat="false" ht="15" hidden="false" customHeight="false" outlineLevel="0" collapsed="false">
      <c r="A14" s="10" t="s">
        <v>65</v>
      </c>
      <c r="B14" s="10" t="s">
        <v>66</v>
      </c>
      <c r="C14" s="10" t="s">
        <v>67</v>
      </c>
      <c r="D14" s="10" t="s">
        <v>68</v>
      </c>
      <c r="E14" s="10" t="s">
        <v>73</v>
      </c>
      <c r="F14" s="10" t="s">
        <v>74</v>
      </c>
      <c r="G14" s="11" t="n">
        <v>45</v>
      </c>
      <c r="H14" s="12" t="n">
        <v>165884.8543</v>
      </c>
    </row>
    <row r="15" customFormat="false" ht="15" hidden="false" customHeight="false" outlineLevel="0" collapsed="false">
      <c r="A15" s="10" t="s">
        <v>65</v>
      </c>
      <c r="B15" s="10" t="s">
        <v>66</v>
      </c>
      <c r="C15" s="10" t="s">
        <v>67</v>
      </c>
      <c r="D15" s="10" t="s">
        <v>68</v>
      </c>
      <c r="E15" s="10" t="s">
        <v>73</v>
      </c>
      <c r="F15" s="10" t="s">
        <v>74</v>
      </c>
      <c r="G15" s="11" t="n">
        <v>55</v>
      </c>
      <c r="H15" s="12" t="n">
        <v>154722.4182</v>
      </c>
    </row>
    <row r="16" customFormat="false" ht="15" hidden="false" customHeight="false" outlineLevel="0" collapsed="false">
      <c r="A16" s="10" t="s">
        <v>65</v>
      </c>
      <c r="B16" s="10" t="s">
        <v>66</v>
      </c>
      <c r="C16" s="10" t="s">
        <v>67</v>
      </c>
      <c r="D16" s="10" t="s">
        <v>68</v>
      </c>
      <c r="E16" s="10" t="s">
        <v>73</v>
      </c>
      <c r="F16" s="10" t="s">
        <v>74</v>
      </c>
      <c r="G16" s="11" t="n">
        <v>65</v>
      </c>
      <c r="H16" s="12" t="n">
        <v>142198.0597</v>
      </c>
    </row>
    <row r="17" customFormat="false" ht="15" hidden="false" customHeight="false" outlineLevel="0" collapsed="false">
      <c r="A17" s="10" t="s">
        <v>65</v>
      </c>
      <c r="B17" s="10" t="s">
        <v>66</v>
      </c>
      <c r="C17" s="10" t="s">
        <v>67</v>
      </c>
      <c r="D17" s="10" t="s">
        <v>68</v>
      </c>
      <c r="E17" s="10" t="s">
        <v>73</v>
      </c>
      <c r="F17" s="10" t="s">
        <v>74</v>
      </c>
      <c r="G17" s="11" t="n">
        <v>75</v>
      </c>
      <c r="H17" s="12" t="n">
        <v>141176.0584</v>
      </c>
    </row>
    <row r="18" customFormat="false" ht="15" hidden="false" customHeight="false" outlineLevel="0" collapsed="false">
      <c r="A18" s="10" t="s">
        <v>65</v>
      </c>
      <c r="B18" s="10" t="s">
        <v>66</v>
      </c>
      <c r="C18" s="10" t="s">
        <v>67</v>
      </c>
      <c r="D18" s="10" t="s">
        <v>68</v>
      </c>
      <c r="E18" s="10" t="s">
        <v>75</v>
      </c>
      <c r="F18" s="10" t="s">
        <v>76</v>
      </c>
      <c r="G18" s="11" t="n">
        <v>25</v>
      </c>
      <c r="H18" s="12" t="n">
        <v>10931.64131</v>
      </c>
    </row>
    <row r="19" customFormat="false" ht="15" hidden="false" customHeight="false" outlineLevel="0" collapsed="false">
      <c r="A19" s="10" t="s">
        <v>65</v>
      </c>
      <c r="B19" s="10" t="s">
        <v>66</v>
      </c>
      <c r="C19" s="10" t="s">
        <v>67</v>
      </c>
      <c r="D19" s="10" t="s">
        <v>68</v>
      </c>
      <c r="E19" s="10" t="s">
        <v>75</v>
      </c>
      <c r="F19" s="10" t="s">
        <v>76</v>
      </c>
      <c r="G19" s="11" t="n">
        <v>35</v>
      </c>
      <c r="H19" s="12" t="n">
        <v>109269.2064</v>
      </c>
    </row>
    <row r="20" customFormat="false" ht="15" hidden="false" customHeight="false" outlineLevel="0" collapsed="false">
      <c r="A20" s="10" t="s">
        <v>65</v>
      </c>
      <c r="B20" s="10" t="s">
        <v>66</v>
      </c>
      <c r="C20" s="10" t="s">
        <v>67</v>
      </c>
      <c r="D20" s="10" t="s">
        <v>68</v>
      </c>
      <c r="E20" s="10" t="s">
        <v>75</v>
      </c>
      <c r="F20" s="10" t="s">
        <v>76</v>
      </c>
      <c r="G20" s="11" t="n">
        <v>45</v>
      </c>
      <c r="H20" s="12" t="n">
        <v>125484.3115</v>
      </c>
    </row>
    <row r="21" customFormat="false" ht="15" hidden="false" customHeight="false" outlineLevel="0" collapsed="false">
      <c r="A21" s="10" t="s">
        <v>65</v>
      </c>
      <c r="B21" s="10" t="s">
        <v>66</v>
      </c>
      <c r="C21" s="10" t="s">
        <v>67</v>
      </c>
      <c r="D21" s="10" t="s">
        <v>68</v>
      </c>
      <c r="E21" s="10" t="s">
        <v>75</v>
      </c>
      <c r="F21" s="10" t="s">
        <v>76</v>
      </c>
      <c r="G21" s="11" t="n">
        <v>55</v>
      </c>
      <c r="H21" s="12" t="n">
        <v>128893.4383</v>
      </c>
    </row>
    <row r="22" customFormat="false" ht="15" hidden="false" customHeight="false" outlineLevel="0" collapsed="false">
      <c r="A22" s="10" t="s">
        <v>65</v>
      </c>
      <c r="B22" s="10" t="s">
        <v>66</v>
      </c>
      <c r="C22" s="10" t="s">
        <v>67</v>
      </c>
      <c r="D22" s="10" t="s">
        <v>68</v>
      </c>
      <c r="E22" s="10" t="s">
        <v>75</v>
      </c>
      <c r="F22" s="10" t="s">
        <v>76</v>
      </c>
      <c r="G22" s="11" t="n">
        <v>65</v>
      </c>
      <c r="H22" s="12" t="n">
        <v>119162.6191</v>
      </c>
    </row>
    <row r="23" customFormat="false" ht="15" hidden="false" customHeight="false" outlineLevel="0" collapsed="false">
      <c r="A23" s="10" t="s">
        <v>65</v>
      </c>
      <c r="B23" s="10" t="s">
        <v>66</v>
      </c>
      <c r="C23" s="10" t="s">
        <v>67</v>
      </c>
      <c r="D23" s="10" t="s">
        <v>68</v>
      </c>
      <c r="E23" s="10" t="s">
        <v>77</v>
      </c>
      <c r="F23" s="10" t="s">
        <v>78</v>
      </c>
      <c r="G23" s="11" t="n">
        <v>25</v>
      </c>
      <c r="H23" s="12" t="n">
        <v>7931.566701</v>
      </c>
    </row>
    <row r="24" customFormat="false" ht="15" hidden="false" customHeight="false" outlineLevel="0" collapsed="false">
      <c r="A24" s="10" t="s">
        <v>65</v>
      </c>
      <c r="B24" s="10" t="s">
        <v>66</v>
      </c>
      <c r="C24" s="10" t="s">
        <v>67</v>
      </c>
      <c r="D24" s="10" t="s">
        <v>68</v>
      </c>
      <c r="E24" s="10" t="s">
        <v>77</v>
      </c>
      <c r="F24" s="10" t="s">
        <v>78</v>
      </c>
      <c r="G24" s="11" t="n">
        <v>35</v>
      </c>
      <c r="H24" s="12" t="n">
        <v>59476.58716</v>
      </c>
    </row>
    <row r="25" customFormat="false" ht="15" hidden="false" customHeight="false" outlineLevel="0" collapsed="false">
      <c r="A25" s="10" t="s">
        <v>65</v>
      </c>
      <c r="B25" s="10" t="s">
        <v>66</v>
      </c>
      <c r="C25" s="10" t="s">
        <v>67</v>
      </c>
      <c r="D25" s="10" t="s">
        <v>68</v>
      </c>
      <c r="E25" s="10" t="s">
        <v>77</v>
      </c>
      <c r="F25" s="10" t="s">
        <v>78</v>
      </c>
      <c r="G25" s="11" t="n">
        <v>45</v>
      </c>
      <c r="H25" s="12" t="n">
        <v>31427.24768</v>
      </c>
    </row>
    <row r="26" customFormat="false" ht="15" hidden="false" customHeight="false" outlineLevel="0" collapsed="false">
      <c r="A26" s="10" t="s">
        <v>65</v>
      </c>
      <c r="B26" s="10" t="s">
        <v>66</v>
      </c>
      <c r="C26" s="10" t="s">
        <v>67</v>
      </c>
      <c r="D26" s="10" t="s">
        <v>68</v>
      </c>
      <c r="E26" s="10" t="s">
        <v>77</v>
      </c>
      <c r="F26" s="10" t="s">
        <v>78</v>
      </c>
      <c r="G26" s="11" t="n">
        <v>55</v>
      </c>
      <c r="H26" s="12" t="n">
        <v>21793.58587</v>
      </c>
    </row>
    <row r="27" customFormat="false" ht="15" hidden="false" customHeight="false" outlineLevel="0" collapsed="false">
      <c r="A27" s="10" t="s">
        <v>65</v>
      </c>
      <c r="B27" s="10" t="s">
        <v>66</v>
      </c>
      <c r="C27" s="10" t="s">
        <v>67</v>
      </c>
      <c r="D27" s="10" t="s">
        <v>68</v>
      </c>
      <c r="E27" s="10" t="s">
        <v>77</v>
      </c>
      <c r="F27" s="10" t="s">
        <v>78</v>
      </c>
      <c r="G27" s="11" t="n">
        <v>65</v>
      </c>
      <c r="H27" s="12" t="n">
        <v>11941.02415</v>
      </c>
    </row>
    <row r="28" customFormat="false" ht="15" hidden="false" customHeight="false" outlineLevel="0" collapsed="false">
      <c r="A28" s="10" t="s">
        <v>65</v>
      </c>
      <c r="B28" s="10" t="s">
        <v>66</v>
      </c>
      <c r="C28" s="10" t="s">
        <v>67</v>
      </c>
      <c r="D28" s="10" t="s">
        <v>68</v>
      </c>
      <c r="E28" s="10" t="s">
        <v>79</v>
      </c>
      <c r="F28" s="10" t="s">
        <v>80</v>
      </c>
      <c r="G28" s="11" t="n">
        <v>25</v>
      </c>
      <c r="H28" s="12" t="n">
        <v>8123.757845</v>
      </c>
    </row>
    <row r="29" customFormat="false" ht="15" hidden="false" customHeight="false" outlineLevel="0" collapsed="false">
      <c r="A29" s="10" t="s">
        <v>65</v>
      </c>
      <c r="B29" s="10" t="s">
        <v>66</v>
      </c>
      <c r="C29" s="10" t="s">
        <v>67</v>
      </c>
      <c r="D29" s="10" t="s">
        <v>68</v>
      </c>
      <c r="E29" s="10" t="s">
        <v>79</v>
      </c>
      <c r="F29" s="10" t="s">
        <v>80</v>
      </c>
      <c r="G29" s="11" t="n">
        <v>35</v>
      </c>
      <c r="H29" s="12" t="n">
        <v>68386.5766</v>
      </c>
    </row>
    <row r="30" customFormat="false" ht="15" hidden="false" customHeight="false" outlineLevel="0" collapsed="false">
      <c r="A30" s="10" t="s">
        <v>65</v>
      </c>
      <c r="B30" s="10" t="s">
        <v>66</v>
      </c>
      <c r="C30" s="10" t="s">
        <v>67</v>
      </c>
      <c r="D30" s="10" t="s">
        <v>68</v>
      </c>
      <c r="E30" s="10" t="s">
        <v>79</v>
      </c>
      <c r="F30" s="10" t="s">
        <v>80</v>
      </c>
      <c r="G30" s="11" t="n">
        <v>45</v>
      </c>
      <c r="H30" s="12" t="n">
        <v>65832.27353</v>
      </c>
    </row>
    <row r="31" customFormat="false" ht="15" hidden="false" customHeight="false" outlineLevel="0" collapsed="false">
      <c r="A31" s="10" t="s">
        <v>65</v>
      </c>
      <c r="B31" s="10" t="s">
        <v>66</v>
      </c>
      <c r="C31" s="10" t="s">
        <v>67</v>
      </c>
      <c r="D31" s="10" t="s">
        <v>68</v>
      </c>
      <c r="E31" s="10" t="s">
        <v>79</v>
      </c>
      <c r="F31" s="10" t="s">
        <v>80</v>
      </c>
      <c r="G31" s="11" t="n">
        <v>55</v>
      </c>
      <c r="H31" s="12" t="n">
        <v>40840.30684</v>
      </c>
    </row>
    <row r="32" customFormat="false" ht="15" hidden="false" customHeight="false" outlineLevel="0" collapsed="false">
      <c r="A32" s="10" t="s">
        <v>65</v>
      </c>
      <c r="B32" s="10" t="s">
        <v>66</v>
      </c>
      <c r="C32" s="10" t="s">
        <v>67</v>
      </c>
      <c r="D32" s="10" t="s">
        <v>68</v>
      </c>
      <c r="E32" s="10" t="s">
        <v>79</v>
      </c>
      <c r="F32" s="10" t="s">
        <v>80</v>
      </c>
      <c r="G32" s="11" t="n">
        <v>65</v>
      </c>
      <c r="H32" s="12" t="n">
        <v>6105.797904</v>
      </c>
    </row>
    <row r="33" customFormat="false" ht="15" hidden="false" customHeight="false" outlineLevel="0" collapsed="false">
      <c r="A33" s="10" t="s">
        <v>65</v>
      </c>
      <c r="B33" s="10" t="s">
        <v>66</v>
      </c>
      <c r="C33" s="10" t="s">
        <v>67</v>
      </c>
      <c r="D33" s="10" t="s">
        <v>68</v>
      </c>
      <c r="E33" s="10" t="s">
        <v>81</v>
      </c>
      <c r="F33" s="10" t="s">
        <v>82</v>
      </c>
      <c r="G33" s="11" t="n">
        <v>35</v>
      </c>
      <c r="H33" s="12" t="n">
        <v>9.920000076</v>
      </c>
    </row>
    <row r="34" customFormat="false" ht="15" hidden="false" customHeight="false" outlineLevel="0" collapsed="false">
      <c r="A34" s="10" t="s">
        <v>65</v>
      </c>
      <c r="B34" s="10" t="s">
        <v>66</v>
      </c>
      <c r="C34" s="10" t="s">
        <v>67</v>
      </c>
      <c r="D34" s="10" t="s">
        <v>68</v>
      </c>
      <c r="E34" s="10" t="s">
        <v>81</v>
      </c>
      <c r="F34" s="10" t="s">
        <v>82</v>
      </c>
      <c r="G34" s="11" t="n">
        <v>45</v>
      </c>
      <c r="H34" s="12" t="n">
        <v>209.6819236</v>
      </c>
    </row>
    <row r="35" customFormat="false" ht="15" hidden="false" customHeight="false" outlineLevel="0" collapsed="false">
      <c r="A35" s="10" t="s">
        <v>65</v>
      </c>
      <c r="B35" s="10" t="s">
        <v>66</v>
      </c>
      <c r="C35" s="10" t="s">
        <v>67</v>
      </c>
      <c r="D35" s="10" t="s">
        <v>68</v>
      </c>
      <c r="E35" s="10" t="s">
        <v>81</v>
      </c>
      <c r="F35" s="10" t="s">
        <v>82</v>
      </c>
      <c r="G35" s="11" t="n">
        <v>55</v>
      </c>
      <c r="H35" s="12" t="n">
        <v>662.6645334</v>
      </c>
    </row>
    <row r="36" customFormat="false" ht="15" hidden="false" customHeight="false" outlineLevel="0" collapsed="false">
      <c r="A36" s="10" t="s">
        <v>65</v>
      </c>
      <c r="B36" s="10" t="s">
        <v>66</v>
      </c>
      <c r="C36" s="10" t="s">
        <v>67</v>
      </c>
      <c r="D36" s="10" t="s">
        <v>68</v>
      </c>
      <c r="E36" s="10" t="s">
        <v>81</v>
      </c>
      <c r="F36" s="10" t="s">
        <v>82</v>
      </c>
      <c r="G36" s="11" t="n">
        <v>65</v>
      </c>
      <c r="H36" s="12" t="n">
        <v>861.2551446</v>
      </c>
    </row>
    <row r="37" customFormat="false" ht="15" hidden="false" customHeight="false" outlineLevel="0" collapsed="false">
      <c r="A37" s="10" t="s">
        <v>65</v>
      </c>
      <c r="B37" s="10" t="s">
        <v>66</v>
      </c>
      <c r="C37" s="10" t="s">
        <v>67</v>
      </c>
      <c r="D37" s="10" t="s">
        <v>68</v>
      </c>
      <c r="E37" s="10" t="s">
        <v>81</v>
      </c>
      <c r="F37" s="10" t="s">
        <v>82</v>
      </c>
      <c r="G37" s="11" t="n">
        <v>75</v>
      </c>
      <c r="H37" s="12" t="n">
        <v>478.3667102</v>
      </c>
    </row>
    <row r="38" customFormat="false" ht="15" hidden="false" customHeight="false" outlineLevel="0" collapsed="false">
      <c r="A38" s="10" t="s">
        <v>65</v>
      </c>
      <c r="B38" s="10" t="s">
        <v>66</v>
      </c>
      <c r="C38" s="10" t="s">
        <v>67</v>
      </c>
      <c r="D38" s="10" t="s">
        <v>68</v>
      </c>
      <c r="E38" s="10" t="s">
        <v>83</v>
      </c>
      <c r="F38" s="10" t="s">
        <v>84</v>
      </c>
      <c r="G38" s="11" t="n">
        <v>35</v>
      </c>
      <c r="H38" s="12" t="n">
        <v>87.57999921</v>
      </c>
    </row>
    <row r="39" customFormat="false" ht="15" hidden="false" customHeight="false" outlineLevel="0" collapsed="false">
      <c r="A39" s="10" t="s">
        <v>65</v>
      </c>
      <c r="B39" s="10" t="s">
        <v>66</v>
      </c>
      <c r="C39" s="10" t="s">
        <v>67</v>
      </c>
      <c r="D39" s="10" t="s">
        <v>68</v>
      </c>
      <c r="E39" s="10" t="s">
        <v>83</v>
      </c>
      <c r="F39" s="10" t="s">
        <v>84</v>
      </c>
      <c r="G39" s="11" t="n">
        <v>45</v>
      </c>
      <c r="H39" s="12" t="n">
        <v>113.8000002</v>
      </c>
    </row>
    <row r="40" customFormat="false" ht="15" hidden="false" customHeight="false" outlineLevel="0" collapsed="false">
      <c r="A40" s="10" t="s">
        <v>65</v>
      </c>
      <c r="B40" s="10" t="s">
        <v>66</v>
      </c>
      <c r="C40" s="10" t="s">
        <v>67</v>
      </c>
      <c r="D40" s="10" t="s">
        <v>68</v>
      </c>
      <c r="E40" s="10" t="s">
        <v>83</v>
      </c>
      <c r="F40" s="10" t="s">
        <v>84</v>
      </c>
      <c r="G40" s="11" t="n">
        <v>55</v>
      </c>
      <c r="H40" s="12" t="n">
        <v>125.9199991</v>
      </c>
    </row>
    <row r="41" customFormat="false" ht="15" hidden="false" customHeight="false" outlineLevel="0" collapsed="false">
      <c r="A41" s="10" t="s">
        <v>65</v>
      </c>
      <c r="B41" s="10" t="s">
        <v>66</v>
      </c>
      <c r="C41" s="10" t="s">
        <v>67</v>
      </c>
      <c r="D41" s="10" t="s">
        <v>68</v>
      </c>
      <c r="E41" s="10" t="s">
        <v>83</v>
      </c>
      <c r="F41" s="10" t="s">
        <v>84</v>
      </c>
      <c r="G41" s="11" t="n">
        <v>65</v>
      </c>
      <c r="H41" s="12" t="n">
        <v>148.1300006</v>
      </c>
    </row>
    <row r="42" customFormat="false" ht="15" hidden="false" customHeight="false" outlineLevel="0" collapsed="false">
      <c r="A42" s="10" t="s">
        <v>65</v>
      </c>
      <c r="B42" s="10" t="s">
        <v>66</v>
      </c>
      <c r="C42" s="10" t="s">
        <v>85</v>
      </c>
      <c r="D42" s="10" t="s">
        <v>86</v>
      </c>
      <c r="E42" s="10" t="s">
        <v>69</v>
      </c>
      <c r="F42" s="10" t="s">
        <v>70</v>
      </c>
      <c r="G42" s="11" t="n">
        <v>85</v>
      </c>
      <c r="H42" s="12" t="n">
        <v>4189.03459</v>
      </c>
    </row>
    <row r="43" customFormat="false" ht="15" hidden="false" customHeight="false" outlineLevel="0" collapsed="false">
      <c r="A43" s="10" t="s">
        <v>65</v>
      </c>
      <c r="B43" s="10" t="s">
        <v>66</v>
      </c>
      <c r="C43" s="10" t="s">
        <v>85</v>
      </c>
      <c r="D43" s="10" t="s">
        <v>86</v>
      </c>
      <c r="E43" s="10" t="s">
        <v>69</v>
      </c>
      <c r="F43" s="10" t="s">
        <v>70</v>
      </c>
      <c r="G43" s="11" t="n">
        <v>95</v>
      </c>
      <c r="H43" s="12" t="n">
        <v>56421.61567</v>
      </c>
    </row>
    <row r="44" customFormat="false" ht="15" hidden="false" customHeight="false" outlineLevel="0" collapsed="false">
      <c r="A44" s="10" t="s">
        <v>65</v>
      </c>
      <c r="B44" s="10" t="s">
        <v>66</v>
      </c>
      <c r="C44" s="10" t="s">
        <v>85</v>
      </c>
      <c r="D44" s="10" t="s">
        <v>86</v>
      </c>
      <c r="E44" s="10" t="s">
        <v>69</v>
      </c>
      <c r="F44" s="10" t="s">
        <v>70</v>
      </c>
      <c r="G44" s="11" t="n">
        <v>105</v>
      </c>
      <c r="H44" s="12" t="n">
        <v>19232.10601</v>
      </c>
    </row>
    <row r="45" customFormat="false" ht="15" hidden="false" customHeight="false" outlineLevel="0" collapsed="false">
      <c r="A45" s="10" t="s">
        <v>65</v>
      </c>
      <c r="B45" s="10" t="s">
        <v>66</v>
      </c>
      <c r="C45" s="10" t="s">
        <v>85</v>
      </c>
      <c r="D45" s="10" t="s">
        <v>86</v>
      </c>
      <c r="E45" s="10" t="s">
        <v>69</v>
      </c>
      <c r="F45" s="10" t="s">
        <v>70</v>
      </c>
      <c r="G45" s="11" t="n">
        <v>115</v>
      </c>
      <c r="H45" s="12" t="n">
        <v>7363.763253</v>
      </c>
    </row>
    <row r="46" customFormat="false" ht="15" hidden="false" customHeight="false" outlineLevel="0" collapsed="false">
      <c r="A46" s="10" t="s">
        <v>65</v>
      </c>
      <c r="B46" s="10" t="s">
        <v>66</v>
      </c>
      <c r="C46" s="10" t="s">
        <v>85</v>
      </c>
      <c r="D46" s="10" t="s">
        <v>86</v>
      </c>
      <c r="E46" s="10" t="s">
        <v>69</v>
      </c>
      <c r="F46" s="10" t="s">
        <v>70</v>
      </c>
      <c r="G46" s="11" t="n">
        <v>125</v>
      </c>
      <c r="H46" s="12" t="n">
        <v>4532.928644</v>
      </c>
    </row>
    <row r="47" customFormat="false" ht="15" hidden="false" customHeight="false" outlineLevel="0" collapsed="false">
      <c r="A47" s="10" t="s">
        <v>65</v>
      </c>
      <c r="B47" s="10" t="s">
        <v>66</v>
      </c>
      <c r="C47" s="10" t="s">
        <v>85</v>
      </c>
      <c r="D47" s="10" t="s">
        <v>86</v>
      </c>
      <c r="E47" s="10" t="s">
        <v>69</v>
      </c>
      <c r="F47" s="10" t="s">
        <v>70</v>
      </c>
      <c r="G47" s="11" t="n">
        <v>135</v>
      </c>
      <c r="H47" s="12" t="n">
        <v>750.8508017</v>
      </c>
    </row>
    <row r="48" customFormat="false" ht="15" hidden="false" customHeight="false" outlineLevel="0" collapsed="false">
      <c r="A48" s="10" t="s">
        <v>65</v>
      </c>
      <c r="B48" s="10" t="s">
        <v>66</v>
      </c>
      <c r="C48" s="10" t="s">
        <v>85</v>
      </c>
      <c r="D48" s="10" t="s">
        <v>86</v>
      </c>
      <c r="E48" s="10" t="s">
        <v>69</v>
      </c>
      <c r="F48" s="10" t="s">
        <v>70</v>
      </c>
      <c r="G48" s="11" t="n">
        <v>145</v>
      </c>
      <c r="H48" s="12" t="n">
        <v>362.3819833</v>
      </c>
    </row>
    <row r="49" customFormat="false" ht="15" hidden="false" customHeight="false" outlineLevel="0" collapsed="false">
      <c r="A49" s="10" t="s">
        <v>65</v>
      </c>
      <c r="B49" s="10" t="s">
        <v>66</v>
      </c>
      <c r="C49" s="10" t="s">
        <v>85</v>
      </c>
      <c r="D49" s="10" t="s">
        <v>86</v>
      </c>
      <c r="E49" s="10" t="s">
        <v>69</v>
      </c>
      <c r="F49" s="10" t="s">
        <v>70</v>
      </c>
      <c r="G49" s="11" t="n">
        <v>155</v>
      </c>
      <c r="H49" s="12" t="n">
        <v>66.17072505</v>
      </c>
    </row>
    <row r="50" customFormat="false" ht="15" hidden="false" customHeight="false" outlineLevel="0" collapsed="false">
      <c r="A50" s="10" t="s">
        <v>65</v>
      </c>
      <c r="B50" s="10" t="s">
        <v>66</v>
      </c>
      <c r="C50" s="10" t="s">
        <v>85</v>
      </c>
      <c r="D50" s="10" t="s">
        <v>86</v>
      </c>
      <c r="E50" s="10" t="s">
        <v>69</v>
      </c>
      <c r="F50" s="10" t="s">
        <v>70</v>
      </c>
      <c r="G50" s="11" t="n">
        <v>165</v>
      </c>
      <c r="H50" s="12" t="n">
        <v>195.4999994</v>
      </c>
    </row>
    <row r="51" customFormat="false" ht="15" hidden="false" customHeight="false" outlineLevel="0" collapsed="false">
      <c r="A51" s="10" t="s">
        <v>65</v>
      </c>
      <c r="B51" s="10" t="s">
        <v>66</v>
      </c>
      <c r="C51" s="10" t="s">
        <v>85</v>
      </c>
      <c r="D51" s="10" t="s">
        <v>86</v>
      </c>
      <c r="E51" s="10" t="s">
        <v>69</v>
      </c>
      <c r="F51" s="10" t="s">
        <v>70</v>
      </c>
      <c r="G51" s="11" t="n">
        <v>175</v>
      </c>
      <c r="H51" s="12" t="n">
        <v>26.39999938</v>
      </c>
    </row>
    <row r="52" customFormat="false" ht="15" hidden="false" customHeight="false" outlineLevel="0" collapsed="false">
      <c r="A52" s="10" t="s">
        <v>65</v>
      </c>
      <c r="B52" s="10" t="s">
        <v>66</v>
      </c>
      <c r="C52" s="10" t="s">
        <v>85</v>
      </c>
      <c r="D52" s="10" t="s">
        <v>86</v>
      </c>
      <c r="E52" s="10" t="s">
        <v>69</v>
      </c>
      <c r="F52" s="10" t="s">
        <v>70</v>
      </c>
      <c r="G52" s="11" t="n">
        <v>185</v>
      </c>
      <c r="H52" s="12" t="n">
        <v>13.03999996</v>
      </c>
    </row>
    <row r="53" customFormat="false" ht="15" hidden="false" customHeight="false" outlineLevel="0" collapsed="false">
      <c r="A53" s="10" t="s">
        <v>65</v>
      </c>
      <c r="B53" s="10" t="s">
        <v>66</v>
      </c>
      <c r="C53" s="10" t="s">
        <v>85</v>
      </c>
      <c r="D53" s="10" t="s">
        <v>86</v>
      </c>
      <c r="E53" s="10" t="s">
        <v>71</v>
      </c>
      <c r="F53" s="10" t="s">
        <v>72</v>
      </c>
      <c r="G53" s="11" t="n">
        <v>115</v>
      </c>
      <c r="H53" s="12" t="n">
        <v>20536.6414</v>
      </c>
    </row>
    <row r="54" customFormat="false" ht="15" hidden="false" customHeight="false" outlineLevel="0" collapsed="false">
      <c r="A54" s="10" t="s">
        <v>65</v>
      </c>
      <c r="B54" s="10" t="s">
        <v>66</v>
      </c>
      <c r="C54" s="10" t="s">
        <v>85</v>
      </c>
      <c r="D54" s="10" t="s">
        <v>86</v>
      </c>
      <c r="E54" s="10" t="s">
        <v>71</v>
      </c>
      <c r="F54" s="10" t="s">
        <v>72</v>
      </c>
      <c r="G54" s="11" t="n">
        <v>125</v>
      </c>
      <c r="H54" s="12" t="n">
        <v>201019.3764</v>
      </c>
    </row>
    <row r="55" customFormat="false" ht="15" hidden="false" customHeight="false" outlineLevel="0" collapsed="false">
      <c r="A55" s="10" t="s">
        <v>65</v>
      </c>
      <c r="B55" s="10" t="s">
        <v>66</v>
      </c>
      <c r="C55" s="10" t="s">
        <v>85</v>
      </c>
      <c r="D55" s="10" t="s">
        <v>86</v>
      </c>
      <c r="E55" s="10" t="s">
        <v>71</v>
      </c>
      <c r="F55" s="10" t="s">
        <v>72</v>
      </c>
      <c r="G55" s="11" t="n">
        <v>135</v>
      </c>
      <c r="H55" s="12" t="n">
        <v>302610.9891</v>
      </c>
    </row>
    <row r="56" customFormat="false" ht="15" hidden="false" customHeight="false" outlineLevel="0" collapsed="false">
      <c r="A56" s="10" t="s">
        <v>65</v>
      </c>
      <c r="B56" s="10" t="s">
        <v>66</v>
      </c>
      <c r="C56" s="10" t="s">
        <v>85</v>
      </c>
      <c r="D56" s="10" t="s">
        <v>86</v>
      </c>
      <c r="E56" s="10" t="s">
        <v>71</v>
      </c>
      <c r="F56" s="10" t="s">
        <v>72</v>
      </c>
      <c r="G56" s="11" t="n">
        <v>145</v>
      </c>
      <c r="H56" s="12" t="n">
        <v>185466.8424</v>
      </c>
    </row>
    <row r="57" customFormat="false" ht="15" hidden="false" customHeight="false" outlineLevel="0" collapsed="false">
      <c r="A57" s="10" t="s">
        <v>65</v>
      </c>
      <c r="B57" s="10" t="s">
        <v>66</v>
      </c>
      <c r="C57" s="10" t="s">
        <v>85</v>
      </c>
      <c r="D57" s="10" t="s">
        <v>86</v>
      </c>
      <c r="E57" s="10" t="s">
        <v>71</v>
      </c>
      <c r="F57" s="10" t="s">
        <v>72</v>
      </c>
      <c r="G57" s="11" t="n">
        <v>155</v>
      </c>
      <c r="H57" s="12" t="n">
        <v>216412.9031</v>
      </c>
    </row>
    <row r="58" customFormat="false" ht="15" hidden="false" customHeight="false" outlineLevel="0" collapsed="false">
      <c r="A58" s="10" t="s">
        <v>65</v>
      </c>
      <c r="B58" s="10" t="s">
        <v>66</v>
      </c>
      <c r="C58" s="10" t="s">
        <v>85</v>
      </c>
      <c r="D58" s="10" t="s">
        <v>86</v>
      </c>
      <c r="E58" s="10" t="s">
        <v>71</v>
      </c>
      <c r="F58" s="10" t="s">
        <v>72</v>
      </c>
      <c r="G58" s="11" t="n">
        <v>165</v>
      </c>
      <c r="H58" s="12" t="n">
        <v>197079.9125</v>
      </c>
    </row>
    <row r="59" customFormat="false" ht="15" hidden="false" customHeight="false" outlineLevel="0" collapsed="false">
      <c r="A59" s="10" t="s">
        <v>65</v>
      </c>
      <c r="B59" s="10" t="s">
        <v>66</v>
      </c>
      <c r="C59" s="10" t="s">
        <v>85</v>
      </c>
      <c r="D59" s="10" t="s">
        <v>86</v>
      </c>
      <c r="E59" s="10" t="s">
        <v>71</v>
      </c>
      <c r="F59" s="10" t="s">
        <v>72</v>
      </c>
      <c r="G59" s="11" t="n">
        <v>175</v>
      </c>
      <c r="H59" s="12" t="n">
        <v>51131.37701</v>
      </c>
    </row>
    <row r="60" customFormat="false" ht="15" hidden="false" customHeight="false" outlineLevel="0" collapsed="false">
      <c r="A60" s="10" t="s">
        <v>65</v>
      </c>
      <c r="B60" s="10" t="s">
        <v>66</v>
      </c>
      <c r="C60" s="10" t="s">
        <v>85</v>
      </c>
      <c r="D60" s="10" t="s">
        <v>86</v>
      </c>
      <c r="E60" s="10" t="s">
        <v>71</v>
      </c>
      <c r="F60" s="10" t="s">
        <v>72</v>
      </c>
      <c r="G60" s="11" t="n">
        <v>185</v>
      </c>
      <c r="H60" s="12" t="n">
        <v>19251.49483</v>
      </c>
    </row>
    <row r="61" customFormat="false" ht="15" hidden="false" customHeight="false" outlineLevel="0" collapsed="false">
      <c r="A61" s="10" t="s">
        <v>65</v>
      </c>
      <c r="B61" s="10" t="s">
        <v>66</v>
      </c>
      <c r="C61" s="10" t="s">
        <v>85</v>
      </c>
      <c r="D61" s="10" t="s">
        <v>86</v>
      </c>
      <c r="E61" s="10" t="s">
        <v>73</v>
      </c>
      <c r="F61" s="10" t="s">
        <v>74</v>
      </c>
      <c r="G61" s="11" t="n">
        <v>105</v>
      </c>
      <c r="H61" s="12" t="n">
        <v>16283.47638</v>
      </c>
    </row>
    <row r="62" customFormat="false" ht="15" hidden="false" customHeight="false" outlineLevel="0" collapsed="false">
      <c r="A62" s="10" t="s">
        <v>65</v>
      </c>
      <c r="B62" s="10" t="s">
        <v>66</v>
      </c>
      <c r="C62" s="10" t="s">
        <v>85</v>
      </c>
      <c r="D62" s="10" t="s">
        <v>86</v>
      </c>
      <c r="E62" s="10" t="s">
        <v>73</v>
      </c>
      <c r="F62" s="10" t="s">
        <v>74</v>
      </c>
      <c r="G62" s="11" t="n">
        <v>115</v>
      </c>
      <c r="H62" s="12" t="n">
        <v>168741.1994</v>
      </c>
    </row>
    <row r="63" customFormat="false" ht="15" hidden="false" customHeight="false" outlineLevel="0" collapsed="false">
      <c r="A63" s="10" t="s">
        <v>65</v>
      </c>
      <c r="B63" s="10" t="s">
        <v>66</v>
      </c>
      <c r="C63" s="10" t="s">
        <v>85</v>
      </c>
      <c r="D63" s="10" t="s">
        <v>86</v>
      </c>
      <c r="E63" s="10" t="s">
        <v>73</v>
      </c>
      <c r="F63" s="10" t="s">
        <v>74</v>
      </c>
      <c r="G63" s="11" t="n">
        <v>125</v>
      </c>
      <c r="H63" s="12" t="n">
        <v>88122.41627</v>
      </c>
    </row>
    <row r="64" customFormat="false" ht="15" hidden="false" customHeight="false" outlineLevel="0" collapsed="false">
      <c r="A64" s="10" t="s">
        <v>65</v>
      </c>
      <c r="B64" s="10" t="s">
        <v>66</v>
      </c>
      <c r="C64" s="10" t="s">
        <v>85</v>
      </c>
      <c r="D64" s="10" t="s">
        <v>86</v>
      </c>
      <c r="E64" s="10" t="s">
        <v>73</v>
      </c>
      <c r="F64" s="10" t="s">
        <v>74</v>
      </c>
      <c r="G64" s="11" t="n">
        <v>135</v>
      </c>
      <c r="H64" s="12" t="n">
        <v>84060.70852</v>
      </c>
    </row>
    <row r="65" customFormat="false" ht="15" hidden="false" customHeight="false" outlineLevel="0" collapsed="false">
      <c r="A65" s="10" t="s">
        <v>65</v>
      </c>
      <c r="B65" s="10" t="s">
        <v>66</v>
      </c>
      <c r="C65" s="10" t="s">
        <v>85</v>
      </c>
      <c r="D65" s="10" t="s">
        <v>86</v>
      </c>
      <c r="E65" s="10" t="s">
        <v>73</v>
      </c>
      <c r="F65" s="10" t="s">
        <v>74</v>
      </c>
      <c r="G65" s="11" t="n">
        <v>145</v>
      </c>
      <c r="H65" s="12" t="n">
        <v>47737.89775</v>
      </c>
    </row>
    <row r="66" customFormat="false" ht="15" hidden="false" customHeight="false" outlineLevel="0" collapsed="false">
      <c r="A66" s="10" t="s">
        <v>65</v>
      </c>
      <c r="B66" s="10" t="s">
        <v>66</v>
      </c>
      <c r="C66" s="10" t="s">
        <v>85</v>
      </c>
      <c r="D66" s="10" t="s">
        <v>86</v>
      </c>
      <c r="E66" s="10" t="s">
        <v>73</v>
      </c>
      <c r="F66" s="10" t="s">
        <v>74</v>
      </c>
      <c r="G66" s="11" t="n">
        <v>155</v>
      </c>
      <c r="H66" s="12" t="n">
        <v>39229.13692</v>
      </c>
    </row>
    <row r="67" customFormat="false" ht="15" hidden="false" customHeight="false" outlineLevel="0" collapsed="false">
      <c r="A67" s="10" t="s">
        <v>65</v>
      </c>
      <c r="B67" s="10" t="s">
        <v>66</v>
      </c>
      <c r="C67" s="10" t="s">
        <v>85</v>
      </c>
      <c r="D67" s="10" t="s">
        <v>86</v>
      </c>
      <c r="E67" s="10" t="s">
        <v>73</v>
      </c>
      <c r="F67" s="10" t="s">
        <v>74</v>
      </c>
      <c r="G67" s="11" t="n">
        <v>165</v>
      </c>
      <c r="H67" s="12" t="n">
        <v>20714.38631</v>
      </c>
    </row>
    <row r="68" customFormat="false" ht="15" hidden="false" customHeight="false" outlineLevel="0" collapsed="false">
      <c r="A68" s="10" t="s">
        <v>65</v>
      </c>
      <c r="B68" s="10" t="s">
        <v>66</v>
      </c>
      <c r="C68" s="10" t="s">
        <v>85</v>
      </c>
      <c r="D68" s="10" t="s">
        <v>86</v>
      </c>
      <c r="E68" s="10" t="s">
        <v>73</v>
      </c>
      <c r="F68" s="10" t="s">
        <v>74</v>
      </c>
      <c r="G68" s="11" t="n">
        <v>175</v>
      </c>
      <c r="H68" s="12" t="n">
        <v>7478.269692</v>
      </c>
    </row>
    <row r="69" customFormat="false" ht="15" hidden="false" customHeight="false" outlineLevel="0" collapsed="false">
      <c r="A69" s="10" t="s">
        <v>65</v>
      </c>
      <c r="B69" s="10" t="s">
        <v>66</v>
      </c>
      <c r="C69" s="10" t="s">
        <v>85</v>
      </c>
      <c r="D69" s="10" t="s">
        <v>86</v>
      </c>
      <c r="E69" s="10" t="s">
        <v>73</v>
      </c>
      <c r="F69" s="10" t="s">
        <v>74</v>
      </c>
      <c r="G69" s="11" t="n">
        <v>185</v>
      </c>
      <c r="H69" s="12" t="n">
        <v>2404.223734</v>
      </c>
    </row>
    <row r="70" customFormat="false" ht="15" hidden="false" customHeight="false" outlineLevel="0" collapsed="false">
      <c r="A70" s="10" t="s">
        <v>65</v>
      </c>
      <c r="B70" s="10" t="s">
        <v>66</v>
      </c>
      <c r="C70" s="10" t="s">
        <v>85</v>
      </c>
      <c r="D70" s="10" t="s">
        <v>86</v>
      </c>
      <c r="E70" s="10" t="s">
        <v>75</v>
      </c>
      <c r="F70" s="10" t="s">
        <v>76</v>
      </c>
      <c r="G70" s="11" t="n">
        <v>95</v>
      </c>
      <c r="H70" s="12" t="n">
        <v>9733.859004</v>
      </c>
    </row>
    <row r="71" customFormat="false" ht="15" hidden="false" customHeight="false" outlineLevel="0" collapsed="false">
      <c r="A71" s="10" t="s">
        <v>65</v>
      </c>
      <c r="B71" s="10" t="s">
        <v>66</v>
      </c>
      <c r="C71" s="10" t="s">
        <v>85</v>
      </c>
      <c r="D71" s="10" t="s">
        <v>86</v>
      </c>
      <c r="E71" s="10" t="s">
        <v>75</v>
      </c>
      <c r="F71" s="10" t="s">
        <v>76</v>
      </c>
      <c r="G71" s="11" t="n">
        <v>105</v>
      </c>
      <c r="H71" s="12" t="n">
        <v>64950.51408</v>
      </c>
    </row>
    <row r="72" customFormat="false" ht="15" hidden="false" customHeight="false" outlineLevel="0" collapsed="false">
      <c r="A72" s="10" t="s">
        <v>65</v>
      </c>
      <c r="B72" s="10" t="s">
        <v>66</v>
      </c>
      <c r="C72" s="10" t="s">
        <v>85</v>
      </c>
      <c r="D72" s="10" t="s">
        <v>86</v>
      </c>
      <c r="E72" s="10" t="s">
        <v>75</v>
      </c>
      <c r="F72" s="10" t="s">
        <v>76</v>
      </c>
      <c r="G72" s="11" t="n">
        <v>115</v>
      </c>
      <c r="H72" s="12" t="n">
        <v>37756.38066</v>
      </c>
    </row>
    <row r="73" customFormat="false" ht="15" hidden="false" customHeight="false" outlineLevel="0" collapsed="false">
      <c r="A73" s="10" t="s">
        <v>65</v>
      </c>
      <c r="B73" s="10" t="s">
        <v>66</v>
      </c>
      <c r="C73" s="10" t="s">
        <v>85</v>
      </c>
      <c r="D73" s="10" t="s">
        <v>86</v>
      </c>
      <c r="E73" s="10" t="s">
        <v>75</v>
      </c>
      <c r="F73" s="10" t="s">
        <v>76</v>
      </c>
      <c r="G73" s="11" t="n">
        <v>125</v>
      </c>
      <c r="H73" s="12" t="n">
        <v>21890.65322</v>
      </c>
    </row>
    <row r="74" customFormat="false" ht="15" hidden="false" customHeight="false" outlineLevel="0" collapsed="false">
      <c r="A74" s="10" t="s">
        <v>65</v>
      </c>
      <c r="B74" s="10" t="s">
        <v>66</v>
      </c>
      <c r="C74" s="10" t="s">
        <v>85</v>
      </c>
      <c r="D74" s="10" t="s">
        <v>86</v>
      </c>
      <c r="E74" s="10" t="s">
        <v>75</v>
      </c>
      <c r="F74" s="10" t="s">
        <v>76</v>
      </c>
      <c r="G74" s="11" t="n">
        <v>135</v>
      </c>
      <c r="H74" s="12" t="n">
        <v>10898.15079</v>
      </c>
    </row>
    <row r="75" customFormat="false" ht="15" hidden="false" customHeight="false" outlineLevel="0" collapsed="false">
      <c r="A75" s="10" t="s">
        <v>65</v>
      </c>
      <c r="B75" s="10" t="s">
        <v>66</v>
      </c>
      <c r="C75" s="10" t="s">
        <v>85</v>
      </c>
      <c r="D75" s="10" t="s">
        <v>86</v>
      </c>
      <c r="E75" s="10" t="s">
        <v>75</v>
      </c>
      <c r="F75" s="10" t="s">
        <v>76</v>
      </c>
      <c r="G75" s="11" t="n">
        <v>145</v>
      </c>
      <c r="H75" s="12" t="n">
        <v>3955.891582</v>
      </c>
    </row>
    <row r="76" customFormat="false" ht="15" hidden="false" customHeight="false" outlineLevel="0" collapsed="false">
      <c r="A76" s="10" t="s">
        <v>65</v>
      </c>
      <c r="B76" s="10" t="s">
        <v>66</v>
      </c>
      <c r="C76" s="10" t="s">
        <v>85</v>
      </c>
      <c r="D76" s="10" t="s">
        <v>86</v>
      </c>
      <c r="E76" s="10" t="s">
        <v>75</v>
      </c>
      <c r="F76" s="10" t="s">
        <v>76</v>
      </c>
      <c r="G76" s="11" t="n">
        <v>155</v>
      </c>
      <c r="H76" s="12" t="n">
        <v>2280.251502</v>
      </c>
    </row>
    <row r="77" customFormat="false" ht="15" hidden="false" customHeight="false" outlineLevel="0" collapsed="false">
      <c r="A77" s="10" t="s">
        <v>65</v>
      </c>
      <c r="B77" s="10" t="s">
        <v>66</v>
      </c>
      <c r="C77" s="10" t="s">
        <v>85</v>
      </c>
      <c r="D77" s="10" t="s">
        <v>86</v>
      </c>
      <c r="E77" s="10" t="s">
        <v>75</v>
      </c>
      <c r="F77" s="10" t="s">
        <v>76</v>
      </c>
      <c r="G77" s="11" t="n">
        <v>165</v>
      </c>
      <c r="H77" s="12" t="n">
        <v>1225.001066</v>
      </c>
    </row>
    <row r="78" customFormat="false" ht="15" hidden="false" customHeight="false" outlineLevel="0" collapsed="false">
      <c r="A78" s="10" t="s">
        <v>65</v>
      </c>
      <c r="B78" s="10" t="s">
        <v>66</v>
      </c>
      <c r="C78" s="10" t="s">
        <v>85</v>
      </c>
      <c r="D78" s="10" t="s">
        <v>86</v>
      </c>
      <c r="E78" s="10" t="s">
        <v>75</v>
      </c>
      <c r="F78" s="10" t="s">
        <v>76</v>
      </c>
      <c r="G78" s="11" t="n">
        <v>175</v>
      </c>
      <c r="H78" s="12" t="n">
        <v>599.5510238</v>
      </c>
    </row>
    <row r="79" customFormat="false" ht="15" hidden="false" customHeight="false" outlineLevel="0" collapsed="false">
      <c r="A79" s="10" t="s">
        <v>65</v>
      </c>
      <c r="B79" s="10" t="s">
        <v>66</v>
      </c>
      <c r="C79" s="10" t="s">
        <v>85</v>
      </c>
      <c r="D79" s="10" t="s">
        <v>86</v>
      </c>
      <c r="E79" s="10" t="s">
        <v>75</v>
      </c>
      <c r="F79" s="10" t="s">
        <v>76</v>
      </c>
      <c r="G79" s="11" t="n">
        <v>185</v>
      </c>
      <c r="H79" s="12" t="n">
        <v>397.202563</v>
      </c>
    </row>
    <row r="80" customFormat="false" ht="15" hidden="false" customHeight="false" outlineLevel="0" collapsed="false">
      <c r="A80" s="10" t="s">
        <v>65</v>
      </c>
      <c r="B80" s="10" t="s">
        <v>66</v>
      </c>
      <c r="C80" s="10" t="s">
        <v>85</v>
      </c>
      <c r="D80" s="10" t="s">
        <v>86</v>
      </c>
      <c r="E80" s="10" t="s">
        <v>77</v>
      </c>
      <c r="F80" s="10" t="s">
        <v>78</v>
      </c>
      <c r="G80" s="11" t="n">
        <v>105</v>
      </c>
      <c r="H80" s="12" t="n">
        <v>596.4738723</v>
      </c>
    </row>
    <row r="81" customFormat="false" ht="15" hidden="false" customHeight="false" outlineLevel="0" collapsed="false">
      <c r="A81" s="10" t="s">
        <v>65</v>
      </c>
      <c r="B81" s="10" t="s">
        <v>66</v>
      </c>
      <c r="C81" s="10" t="s">
        <v>85</v>
      </c>
      <c r="D81" s="10" t="s">
        <v>86</v>
      </c>
      <c r="E81" s="10" t="s">
        <v>77</v>
      </c>
      <c r="F81" s="10" t="s">
        <v>78</v>
      </c>
      <c r="G81" s="11" t="n">
        <v>115</v>
      </c>
      <c r="H81" s="12" t="n">
        <v>4015.021795</v>
      </c>
    </row>
    <row r="82" customFormat="false" ht="15" hidden="false" customHeight="false" outlineLevel="0" collapsed="false">
      <c r="A82" s="10" t="s">
        <v>65</v>
      </c>
      <c r="B82" s="10" t="s">
        <v>66</v>
      </c>
      <c r="C82" s="10" t="s">
        <v>85</v>
      </c>
      <c r="D82" s="10" t="s">
        <v>86</v>
      </c>
      <c r="E82" s="10" t="s">
        <v>77</v>
      </c>
      <c r="F82" s="10" t="s">
        <v>78</v>
      </c>
      <c r="G82" s="11" t="n">
        <v>125</v>
      </c>
      <c r="H82" s="12" t="n">
        <v>1134.814621</v>
      </c>
    </row>
    <row r="83" customFormat="false" ht="15" hidden="false" customHeight="false" outlineLevel="0" collapsed="false">
      <c r="A83" s="10" t="s">
        <v>65</v>
      </c>
      <c r="B83" s="10" t="s">
        <v>66</v>
      </c>
      <c r="C83" s="10" t="s">
        <v>85</v>
      </c>
      <c r="D83" s="10" t="s">
        <v>86</v>
      </c>
      <c r="E83" s="10" t="s">
        <v>77</v>
      </c>
      <c r="F83" s="10" t="s">
        <v>78</v>
      </c>
      <c r="G83" s="11" t="n">
        <v>135</v>
      </c>
      <c r="H83" s="12" t="n">
        <v>680.7047982</v>
      </c>
    </row>
    <row r="84" customFormat="false" ht="15" hidden="false" customHeight="false" outlineLevel="0" collapsed="false">
      <c r="A84" s="10" t="s">
        <v>65</v>
      </c>
      <c r="B84" s="10" t="s">
        <v>66</v>
      </c>
      <c r="C84" s="10" t="s">
        <v>85</v>
      </c>
      <c r="D84" s="10" t="s">
        <v>86</v>
      </c>
      <c r="E84" s="10" t="s">
        <v>77</v>
      </c>
      <c r="F84" s="10" t="s">
        <v>78</v>
      </c>
      <c r="G84" s="11" t="n">
        <v>145</v>
      </c>
      <c r="H84" s="12" t="n">
        <v>295.7139473</v>
      </c>
    </row>
    <row r="85" customFormat="false" ht="15" hidden="false" customHeight="false" outlineLevel="0" collapsed="false">
      <c r="A85" s="10" t="s">
        <v>65</v>
      </c>
      <c r="B85" s="10" t="s">
        <v>66</v>
      </c>
      <c r="C85" s="10" t="s">
        <v>85</v>
      </c>
      <c r="D85" s="10" t="s">
        <v>86</v>
      </c>
      <c r="E85" s="10" t="s">
        <v>77</v>
      </c>
      <c r="F85" s="10" t="s">
        <v>78</v>
      </c>
      <c r="G85" s="11" t="n">
        <v>155</v>
      </c>
      <c r="H85" s="12" t="n">
        <v>98.02628106</v>
      </c>
    </row>
    <row r="86" customFormat="false" ht="15" hidden="false" customHeight="false" outlineLevel="0" collapsed="false">
      <c r="A86" s="10" t="s">
        <v>65</v>
      </c>
      <c r="B86" s="10" t="s">
        <v>66</v>
      </c>
      <c r="C86" s="10" t="s">
        <v>85</v>
      </c>
      <c r="D86" s="10" t="s">
        <v>86</v>
      </c>
      <c r="E86" s="10" t="s">
        <v>77</v>
      </c>
      <c r="F86" s="10" t="s">
        <v>78</v>
      </c>
      <c r="G86" s="11" t="n">
        <v>165</v>
      </c>
      <c r="H86" s="12" t="n">
        <v>3.720000029</v>
      </c>
    </row>
    <row r="87" customFormat="false" ht="15" hidden="false" customHeight="false" outlineLevel="0" collapsed="false">
      <c r="A87" s="10" t="s">
        <v>65</v>
      </c>
      <c r="B87" s="10" t="s">
        <v>66</v>
      </c>
      <c r="C87" s="10" t="s">
        <v>85</v>
      </c>
      <c r="D87" s="10" t="s">
        <v>86</v>
      </c>
      <c r="E87" s="10" t="s">
        <v>77</v>
      </c>
      <c r="F87" s="10" t="s">
        <v>78</v>
      </c>
      <c r="G87" s="11" t="n">
        <v>185</v>
      </c>
      <c r="H87" s="12" t="n">
        <v>8.180000305</v>
      </c>
    </row>
    <row r="88" customFormat="false" ht="15" hidden="false" customHeight="false" outlineLevel="0" collapsed="false">
      <c r="A88" s="10" t="s">
        <v>65</v>
      </c>
      <c r="B88" s="10" t="s">
        <v>66</v>
      </c>
      <c r="C88" s="10" t="s">
        <v>85</v>
      </c>
      <c r="D88" s="10" t="s">
        <v>86</v>
      </c>
      <c r="E88" s="10" t="s">
        <v>79</v>
      </c>
      <c r="F88" s="10" t="s">
        <v>80</v>
      </c>
      <c r="G88" s="11" t="n">
        <v>85</v>
      </c>
      <c r="H88" s="12" t="n">
        <v>12676.28685</v>
      </c>
    </row>
    <row r="89" customFormat="false" ht="15" hidden="false" customHeight="false" outlineLevel="0" collapsed="false">
      <c r="A89" s="10" t="s">
        <v>65</v>
      </c>
      <c r="B89" s="10" t="s">
        <v>66</v>
      </c>
      <c r="C89" s="10" t="s">
        <v>85</v>
      </c>
      <c r="D89" s="10" t="s">
        <v>86</v>
      </c>
      <c r="E89" s="10" t="s">
        <v>79</v>
      </c>
      <c r="F89" s="10" t="s">
        <v>80</v>
      </c>
      <c r="G89" s="11" t="n">
        <v>95</v>
      </c>
      <c r="H89" s="12" t="n">
        <v>84041.28903</v>
      </c>
    </row>
    <row r="90" customFormat="false" ht="15" hidden="false" customHeight="false" outlineLevel="0" collapsed="false">
      <c r="A90" s="10" t="s">
        <v>65</v>
      </c>
      <c r="B90" s="10" t="s">
        <v>66</v>
      </c>
      <c r="C90" s="10" t="s">
        <v>85</v>
      </c>
      <c r="D90" s="10" t="s">
        <v>86</v>
      </c>
      <c r="E90" s="10" t="s">
        <v>79</v>
      </c>
      <c r="F90" s="10" t="s">
        <v>80</v>
      </c>
      <c r="G90" s="11" t="n">
        <v>105</v>
      </c>
      <c r="H90" s="12" t="n">
        <v>35057.81444</v>
      </c>
    </row>
    <row r="91" customFormat="false" ht="15" hidden="false" customHeight="false" outlineLevel="0" collapsed="false">
      <c r="A91" s="10" t="s">
        <v>65</v>
      </c>
      <c r="B91" s="10" t="s">
        <v>66</v>
      </c>
      <c r="C91" s="10" t="s">
        <v>85</v>
      </c>
      <c r="D91" s="10" t="s">
        <v>86</v>
      </c>
      <c r="E91" s="10" t="s">
        <v>79</v>
      </c>
      <c r="F91" s="10" t="s">
        <v>80</v>
      </c>
      <c r="G91" s="11" t="n">
        <v>115</v>
      </c>
      <c r="H91" s="12" t="n">
        <v>17172.41763</v>
      </c>
    </row>
    <row r="92" customFormat="false" ht="15" hidden="false" customHeight="false" outlineLevel="0" collapsed="false">
      <c r="A92" s="10" t="s">
        <v>65</v>
      </c>
      <c r="B92" s="10" t="s">
        <v>66</v>
      </c>
      <c r="C92" s="10" t="s">
        <v>85</v>
      </c>
      <c r="D92" s="10" t="s">
        <v>86</v>
      </c>
      <c r="E92" s="10" t="s">
        <v>79</v>
      </c>
      <c r="F92" s="10" t="s">
        <v>80</v>
      </c>
      <c r="G92" s="11" t="n">
        <v>125</v>
      </c>
      <c r="H92" s="12" t="n">
        <v>15989.12361</v>
      </c>
    </row>
    <row r="93" customFormat="false" ht="15" hidden="false" customHeight="false" outlineLevel="0" collapsed="false">
      <c r="A93" s="10" t="s">
        <v>65</v>
      </c>
      <c r="B93" s="10" t="s">
        <v>66</v>
      </c>
      <c r="C93" s="10" t="s">
        <v>85</v>
      </c>
      <c r="D93" s="10" t="s">
        <v>86</v>
      </c>
      <c r="E93" s="10" t="s">
        <v>79</v>
      </c>
      <c r="F93" s="10" t="s">
        <v>80</v>
      </c>
      <c r="G93" s="11" t="n">
        <v>135</v>
      </c>
      <c r="H93" s="12" t="n">
        <v>2402.2577</v>
      </c>
    </row>
    <row r="94" customFormat="false" ht="15" hidden="false" customHeight="false" outlineLevel="0" collapsed="false">
      <c r="A94" s="10" t="s">
        <v>65</v>
      </c>
      <c r="B94" s="10" t="s">
        <v>66</v>
      </c>
      <c r="C94" s="10" t="s">
        <v>85</v>
      </c>
      <c r="D94" s="10" t="s">
        <v>86</v>
      </c>
      <c r="E94" s="10" t="s">
        <v>79</v>
      </c>
      <c r="F94" s="10" t="s">
        <v>80</v>
      </c>
      <c r="G94" s="11" t="n">
        <v>145</v>
      </c>
      <c r="H94" s="12" t="n">
        <v>725.7684533</v>
      </c>
    </row>
    <row r="95" customFormat="false" ht="15" hidden="false" customHeight="false" outlineLevel="0" collapsed="false">
      <c r="A95" s="10" t="s">
        <v>65</v>
      </c>
      <c r="B95" s="10" t="s">
        <v>66</v>
      </c>
      <c r="C95" s="10" t="s">
        <v>85</v>
      </c>
      <c r="D95" s="10" t="s">
        <v>86</v>
      </c>
      <c r="E95" s="10" t="s">
        <v>79</v>
      </c>
      <c r="F95" s="10" t="s">
        <v>80</v>
      </c>
      <c r="G95" s="11" t="n">
        <v>155</v>
      </c>
      <c r="H95" s="12" t="n">
        <v>237.6135297</v>
      </c>
    </row>
    <row r="96" customFormat="false" ht="15" hidden="false" customHeight="false" outlineLevel="0" collapsed="false">
      <c r="A96" s="10" t="s">
        <v>65</v>
      </c>
      <c r="B96" s="10" t="s">
        <v>66</v>
      </c>
      <c r="C96" s="10" t="s">
        <v>85</v>
      </c>
      <c r="D96" s="10" t="s">
        <v>86</v>
      </c>
      <c r="E96" s="10" t="s">
        <v>79</v>
      </c>
      <c r="F96" s="10" t="s">
        <v>80</v>
      </c>
      <c r="G96" s="11" t="n">
        <v>165</v>
      </c>
      <c r="H96" s="12" t="n">
        <v>725.0812312</v>
      </c>
    </row>
    <row r="97" customFormat="false" ht="15" hidden="false" customHeight="false" outlineLevel="0" collapsed="false">
      <c r="A97" s="10" t="s">
        <v>65</v>
      </c>
      <c r="B97" s="10" t="s">
        <v>66</v>
      </c>
      <c r="C97" s="10" t="s">
        <v>85</v>
      </c>
      <c r="D97" s="10" t="s">
        <v>86</v>
      </c>
      <c r="E97" s="10" t="s">
        <v>79</v>
      </c>
      <c r="F97" s="10" t="s">
        <v>80</v>
      </c>
      <c r="G97" s="11" t="n">
        <v>175</v>
      </c>
      <c r="H97" s="12" t="n">
        <v>101.7100019</v>
      </c>
    </row>
    <row r="98" customFormat="false" ht="15" hidden="false" customHeight="false" outlineLevel="0" collapsed="false">
      <c r="A98" s="10" t="s">
        <v>65</v>
      </c>
      <c r="B98" s="10" t="s">
        <v>66</v>
      </c>
      <c r="C98" s="10" t="s">
        <v>85</v>
      </c>
      <c r="D98" s="10" t="s">
        <v>86</v>
      </c>
      <c r="E98" s="10" t="s">
        <v>79</v>
      </c>
      <c r="F98" s="10" t="s">
        <v>80</v>
      </c>
      <c r="G98" s="11" t="n">
        <v>185</v>
      </c>
      <c r="H98" s="12" t="n">
        <v>164.0600042</v>
      </c>
    </row>
    <row r="99" customFormat="false" ht="15" hidden="false" customHeight="false" outlineLevel="0" collapsed="false">
      <c r="A99" s="10" t="s">
        <v>65</v>
      </c>
      <c r="B99" s="10" t="s">
        <v>66</v>
      </c>
      <c r="C99" s="10" t="s">
        <v>85</v>
      </c>
      <c r="D99" s="10" t="s">
        <v>86</v>
      </c>
      <c r="E99" s="10" t="s">
        <v>81</v>
      </c>
      <c r="F99" s="10" t="s">
        <v>82</v>
      </c>
      <c r="G99" s="11" t="n">
        <v>135</v>
      </c>
      <c r="H99" s="12" t="n">
        <v>670.3222226</v>
      </c>
    </row>
    <row r="100" customFormat="false" ht="15" hidden="false" customHeight="false" outlineLevel="0" collapsed="false">
      <c r="A100" s="10" t="s">
        <v>65</v>
      </c>
      <c r="B100" s="10" t="s">
        <v>66</v>
      </c>
      <c r="C100" s="10" t="s">
        <v>85</v>
      </c>
      <c r="D100" s="10" t="s">
        <v>86</v>
      </c>
      <c r="E100" s="10" t="s">
        <v>81</v>
      </c>
      <c r="F100" s="10" t="s">
        <v>82</v>
      </c>
      <c r="G100" s="11" t="n">
        <v>145</v>
      </c>
      <c r="H100" s="12" t="n">
        <v>845.5080022</v>
      </c>
    </row>
    <row r="101" customFormat="false" ht="15" hidden="false" customHeight="false" outlineLevel="0" collapsed="false">
      <c r="A101" s="10" t="s">
        <v>65</v>
      </c>
      <c r="B101" s="10" t="s">
        <v>66</v>
      </c>
      <c r="C101" s="10" t="s">
        <v>85</v>
      </c>
      <c r="D101" s="10" t="s">
        <v>86</v>
      </c>
      <c r="E101" s="10" t="s">
        <v>81</v>
      </c>
      <c r="F101" s="10" t="s">
        <v>82</v>
      </c>
      <c r="G101" s="11" t="n">
        <v>155</v>
      </c>
      <c r="H101" s="12" t="n">
        <v>239.7482615</v>
      </c>
    </row>
    <row r="102" customFormat="false" ht="15" hidden="false" customHeight="false" outlineLevel="0" collapsed="false">
      <c r="A102" s="10" t="s">
        <v>65</v>
      </c>
      <c r="B102" s="10" t="s">
        <v>66</v>
      </c>
      <c r="C102" s="10" t="s">
        <v>85</v>
      </c>
      <c r="D102" s="10" t="s">
        <v>86</v>
      </c>
      <c r="E102" s="10" t="s">
        <v>81</v>
      </c>
      <c r="F102" s="10" t="s">
        <v>82</v>
      </c>
      <c r="G102" s="11" t="n">
        <v>165</v>
      </c>
      <c r="H102" s="12" t="n">
        <v>590.3698324</v>
      </c>
    </row>
    <row r="103" customFormat="false" ht="15" hidden="false" customHeight="false" outlineLevel="0" collapsed="false">
      <c r="A103" s="10" t="s">
        <v>65</v>
      </c>
      <c r="B103" s="10" t="s">
        <v>66</v>
      </c>
      <c r="C103" s="10" t="s">
        <v>85</v>
      </c>
      <c r="D103" s="10" t="s">
        <v>86</v>
      </c>
      <c r="E103" s="10" t="s">
        <v>81</v>
      </c>
      <c r="F103" s="10" t="s">
        <v>82</v>
      </c>
      <c r="G103" s="11" t="n">
        <v>175</v>
      </c>
      <c r="H103" s="12" t="n">
        <v>46.78620388</v>
      </c>
    </row>
    <row r="104" customFormat="false" ht="15" hidden="false" customHeight="false" outlineLevel="0" collapsed="false">
      <c r="A104" s="10" t="s">
        <v>65</v>
      </c>
      <c r="B104" s="10" t="s">
        <v>66</v>
      </c>
      <c r="C104" s="10" t="s">
        <v>85</v>
      </c>
      <c r="D104" s="10" t="s">
        <v>86</v>
      </c>
      <c r="E104" s="10" t="s">
        <v>81</v>
      </c>
      <c r="F104" s="10" t="s">
        <v>82</v>
      </c>
      <c r="G104" s="11" t="n">
        <v>185</v>
      </c>
      <c r="H104" s="12" t="n">
        <v>42.87393838</v>
      </c>
    </row>
    <row r="105" customFormat="false" ht="15" hidden="false" customHeight="false" outlineLevel="0" collapsed="false">
      <c r="A105" s="10" t="s">
        <v>65</v>
      </c>
      <c r="B105" s="10" t="s">
        <v>66</v>
      </c>
      <c r="C105" s="10" t="s">
        <v>85</v>
      </c>
      <c r="D105" s="10" t="s">
        <v>86</v>
      </c>
      <c r="E105" s="10" t="s">
        <v>83</v>
      </c>
      <c r="F105" s="10" t="s">
        <v>84</v>
      </c>
      <c r="G105" s="11" t="n">
        <v>95</v>
      </c>
      <c r="H105" s="12" t="n">
        <v>26.90999985</v>
      </c>
    </row>
    <row r="106" customFormat="false" ht="15" hidden="false" customHeight="false" outlineLevel="0" collapsed="false">
      <c r="A106" s="10" t="s">
        <v>65</v>
      </c>
      <c r="B106" s="10" t="s">
        <v>66</v>
      </c>
      <c r="C106" s="10" t="s">
        <v>85</v>
      </c>
      <c r="D106" s="10" t="s">
        <v>86</v>
      </c>
      <c r="E106" s="10" t="s">
        <v>83</v>
      </c>
      <c r="F106" s="10" t="s">
        <v>84</v>
      </c>
      <c r="G106" s="11" t="n">
        <v>105</v>
      </c>
      <c r="H106" s="12" t="n">
        <v>43.40609789</v>
      </c>
    </row>
    <row r="107" customFormat="false" ht="15" hidden="false" customHeight="false" outlineLevel="0" collapsed="false">
      <c r="A107" s="10" t="s">
        <v>65</v>
      </c>
      <c r="B107" s="10" t="s">
        <v>66</v>
      </c>
      <c r="C107" s="10" t="s">
        <v>85</v>
      </c>
      <c r="D107" s="10" t="s">
        <v>86</v>
      </c>
      <c r="E107" s="10" t="s">
        <v>83</v>
      </c>
      <c r="F107" s="10" t="s">
        <v>84</v>
      </c>
      <c r="G107" s="11" t="n">
        <v>115</v>
      </c>
      <c r="H107" s="12" t="n">
        <v>42.24999857</v>
      </c>
    </row>
    <row r="108" customFormat="false" ht="15" hidden="false" customHeight="false" outlineLevel="0" collapsed="false">
      <c r="A108" s="10" t="s">
        <v>65</v>
      </c>
      <c r="B108" s="10" t="s">
        <v>66</v>
      </c>
      <c r="C108" s="10" t="s">
        <v>87</v>
      </c>
      <c r="D108" s="10" t="s">
        <v>88</v>
      </c>
      <c r="E108" s="10" t="s">
        <v>69</v>
      </c>
      <c r="F108" s="10" t="s">
        <v>70</v>
      </c>
      <c r="G108" s="11" t="n">
        <v>55</v>
      </c>
      <c r="H108" s="12" t="n">
        <v>3893.930389</v>
      </c>
    </row>
    <row r="109" customFormat="false" ht="15" hidden="false" customHeight="false" outlineLevel="0" collapsed="false">
      <c r="A109" s="10" t="s">
        <v>65</v>
      </c>
      <c r="B109" s="10" t="s">
        <v>66</v>
      </c>
      <c r="C109" s="10" t="s">
        <v>87</v>
      </c>
      <c r="D109" s="10" t="s">
        <v>88</v>
      </c>
      <c r="E109" s="10" t="s">
        <v>69</v>
      </c>
      <c r="F109" s="10" t="s">
        <v>70</v>
      </c>
      <c r="G109" s="11" t="n">
        <v>65</v>
      </c>
      <c r="H109" s="12" t="n">
        <v>48207.30526</v>
      </c>
    </row>
    <row r="110" customFormat="false" ht="15" hidden="false" customHeight="false" outlineLevel="0" collapsed="false">
      <c r="A110" s="10" t="s">
        <v>65</v>
      </c>
      <c r="B110" s="10" t="s">
        <v>66</v>
      </c>
      <c r="C110" s="10" t="s">
        <v>87</v>
      </c>
      <c r="D110" s="10" t="s">
        <v>88</v>
      </c>
      <c r="E110" s="10" t="s">
        <v>69</v>
      </c>
      <c r="F110" s="10" t="s">
        <v>70</v>
      </c>
      <c r="G110" s="11" t="n">
        <v>75</v>
      </c>
      <c r="H110" s="12" t="n">
        <v>110658.839</v>
      </c>
    </row>
    <row r="111" customFormat="false" ht="15" hidden="false" customHeight="false" outlineLevel="0" collapsed="false">
      <c r="A111" s="10" t="s">
        <v>65</v>
      </c>
      <c r="B111" s="10" t="s">
        <v>66</v>
      </c>
      <c r="C111" s="10" t="s">
        <v>87</v>
      </c>
      <c r="D111" s="10" t="s">
        <v>88</v>
      </c>
      <c r="E111" s="10" t="s">
        <v>69</v>
      </c>
      <c r="F111" s="10" t="s">
        <v>70</v>
      </c>
      <c r="G111" s="11" t="n">
        <v>85</v>
      </c>
      <c r="H111" s="12" t="n">
        <v>73665.96479</v>
      </c>
    </row>
    <row r="112" customFormat="false" ht="15" hidden="false" customHeight="false" outlineLevel="0" collapsed="false">
      <c r="A112" s="10" t="s">
        <v>65</v>
      </c>
      <c r="B112" s="10" t="s">
        <v>66</v>
      </c>
      <c r="C112" s="10" t="s">
        <v>87</v>
      </c>
      <c r="D112" s="10" t="s">
        <v>88</v>
      </c>
      <c r="E112" s="10" t="s">
        <v>69</v>
      </c>
      <c r="F112" s="10" t="s">
        <v>70</v>
      </c>
      <c r="G112" s="11" t="n">
        <v>95</v>
      </c>
      <c r="H112" s="12" t="n">
        <v>6092.577827</v>
      </c>
    </row>
    <row r="113" customFormat="false" ht="15" hidden="false" customHeight="false" outlineLevel="0" collapsed="false">
      <c r="A113" s="10" t="s">
        <v>65</v>
      </c>
      <c r="B113" s="10" t="s">
        <v>66</v>
      </c>
      <c r="C113" s="10" t="s">
        <v>87</v>
      </c>
      <c r="D113" s="10" t="s">
        <v>88</v>
      </c>
      <c r="E113" s="10" t="s">
        <v>71</v>
      </c>
      <c r="F113" s="10" t="s">
        <v>72</v>
      </c>
      <c r="G113" s="11" t="n">
        <v>75</v>
      </c>
      <c r="H113" s="12" t="n">
        <v>17482.74952</v>
      </c>
    </row>
    <row r="114" customFormat="false" ht="15" hidden="false" customHeight="false" outlineLevel="0" collapsed="false">
      <c r="A114" s="10" t="s">
        <v>65</v>
      </c>
      <c r="B114" s="10" t="s">
        <v>66</v>
      </c>
      <c r="C114" s="10" t="s">
        <v>87</v>
      </c>
      <c r="D114" s="10" t="s">
        <v>88</v>
      </c>
      <c r="E114" s="10" t="s">
        <v>71</v>
      </c>
      <c r="F114" s="10" t="s">
        <v>72</v>
      </c>
      <c r="G114" s="11" t="n">
        <v>85</v>
      </c>
      <c r="H114" s="12" t="n">
        <v>154230.1599</v>
      </c>
    </row>
    <row r="115" customFormat="false" ht="15" hidden="false" customHeight="false" outlineLevel="0" collapsed="false">
      <c r="A115" s="10" t="s">
        <v>65</v>
      </c>
      <c r="B115" s="10" t="s">
        <v>66</v>
      </c>
      <c r="C115" s="10" t="s">
        <v>87</v>
      </c>
      <c r="D115" s="10" t="s">
        <v>88</v>
      </c>
      <c r="E115" s="10" t="s">
        <v>71</v>
      </c>
      <c r="F115" s="10" t="s">
        <v>72</v>
      </c>
      <c r="G115" s="11" t="n">
        <v>95</v>
      </c>
      <c r="H115" s="12" t="n">
        <v>260109.7977</v>
      </c>
    </row>
    <row r="116" customFormat="false" ht="15" hidden="false" customHeight="false" outlineLevel="0" collapsed="false">
      <c r="A116" s="10" t="s">
        <v>65</v>
      </c>
      <c r="B116" s="10" t="s">
        <v>66</v>
      </c>
      <c r="C116" s="10" t="s">
        <v>87</v>
      </c>
      <c r="D116" s="10" t="s">
        <v>88</v>
      </c>
      <c r="E116" s="10" t="s">
        <v>71</v>
      </c>
      <c r="F116" s="10" t="s">
        <v>72</v>
      </c>
      <c r="G116" s="11" t="n">
        <v>105</v>
      </c>
      <c r="H116" s="12" t="n">
        <v>214939.6636</v>
      </c>
    </row>
    <row r="117" customFormat="false" ht="15" hidden="false" customHeight="false" outlineLevel="0" collapsed="false">
      <c r="A117" s="10" t="s">
        <v>65</v>
      </c>
      <c r="B117" s="10" t="s">
        <v>66</v>
      </c>
      <c r="C117" s="10" t="s">
        <v>87</v>
      </c>
      <c r="D117" s="10" t="s">
        <v>88</v>
      </c>
      <c r="E117" s="10" t="s">
        <v>71</v>
      </c>
      <c r="F117" s="10" t="s">
        <v>72</v>
      </c>
      <c r="G117" s="11" t="n">
        <v>115</v>
      </c>
      <c r="H117" s="12" t="n">
        <v>256247.0118</v>
      </c>
    </row>
    <row r="118" customFormat="false" ht="15" hidden="false" customHeight="false" outlineLevel="0" collapsed="false">
      <c r="A118" s="10" t="s">
        <v>65</v>
      </c>
      <c r="B118" s="10" t="s">
        <v>66</v>
      </c>
      <c r="C118" s="10" t="s">
        <v>87</v>
      </c>
      <c r="D118" s="10" t="s">
        <v>88</v>
      </c>
      <c r="E118" s="10" t="s">
        <v>73</v>
      </c>
      <c r="F118" s="10" t="s">
        <v>74</v>
      </c>
      <c r="G118" s="11" t="n">
        <v>65</v>
      </c>
      <c r="H118" s="12" t="n">
        <v>2117.139118</v>
      </c>
    </row>
    <row r="119" customFormat="false" ht="15" hidden="false" customHeight="false" outlineLevel="0" collapsed="false">
      <c r="A119" s="10" t="s">
        <v>65</v>
      </c>
      <c r="B119" s="10" t="s">
        <v>66</v>
      </c>
      <c r="C119" s="10" t="s">
        <v>87</v>
      </c>
      <c r="D119" s="10" t="s">
        <v>88</v>
      </c>
      <c r="E119" s="10" t="s">
        <v>73</v>
      </c>
      <c r="F119" s="10" t="s">
        <v>74</v>
      </c>
      <c r="G119" s="11" t="n">
        <v>75</v>
      </c>
      <c r="H119" s="12" t="n">
        <v>53391.58835</v>
      </c>
    </row>
    <row r="120" customFormat="false" ht="15" hidden="false" customHeight="false" outlineLevel="0" collapsed="false">
      <c r="A120" s="10" t="s">
        <v>65</v>
      </c>
      <c r="B120" s="10" t="s">
        <v>66</v>
      </c>
      <c r="C120" s="10" t="s">
        <v>87</v>
      </c>
      <c r="D120" s="10" t="s">
        <v>88</v>
      </c>
      <c r="E120" s="10" t="s">
        <v>73</v>
      </c>
      <c r="F120" s="10" t="s">
        <v>74</v>
      </c>
      <c r="G120" s="11" t="n">
        <v>85</v>
      </c>
      <c r="H120" s="12" t="n">
        <v>223397.5275</v>
      </c>
    </row>
    <row r="121" customFormat="false" ht="15" hidden="false" customHeight="false" outlineLevel="0" collapsed="false">
      <c r="A121" s="10" t="s">
        <v>65</v>
      </c>
      <c r="B121" s="10" t="s">
        <v>66</v>
      </c>
      <c r="C121" s="10" t="s">
        <v>87</v>
      </c>
      <c r="D121" s="10" t="s">
        <v>88</v>
      </c>
      <c r="E121" s="10" t="s">
        <v>73</v>
      </c>
      <c r="F121" s="10" t="s">
        <v>74</v>
      </c>
      <c r="G121" s="11" t="n">
        <v>95</v>
      </c>
      <c r="H121" s="12" t="n">
        <v>283146.8698</v>
      </c>
    </row>
    <row r="122" customFormat="false" ht="15" hidden="false" customHeight="false" outlineLevel="0" collapsed="false">
      <c r="A122" s="10" t="s">
        <v>65</v>
      </c>
      <c r="B122" s="10" t="s">
        <v>66</v>
      </c>
      <c r="C122" s="10" t="s">
        <v>87</v>
      </c>
      <c r="D122" s="10" t="s">
        <v>88</v>
      </c>
      <c r="E122" s="10" t="s">
        <v>73</v>
      </c>
      <c r="F122" s="10" t="s">
        <v>74</v>
      </c>
      <c r="G122" s="11" t="n">
        <v>105</v>
      </c>
      <c r="H122" s="12" t="n">
        <v>183890.7355</v>
      </c>
    </row>
    <row r="123" customFormat="false" ht="15" hidden="false" customHeight="false" outlineLevel="0" collapsed="false">
      <c r="A123" s="10" t="s">
        <v>65</v>
      </c>
      <c r="B123" s="10" t="s">
        <v>66</v>
      </c>
      <c r="C123" s="10" t="s">
        <v>87</v>
      </c>
      <c r="D123" s="10" t="s">
        <v>88</v>
      </c>
      <c r="E123" s="10" t="s">
        <v>75</v>
      </c>
      <c r="F123" s="10" t="s">
        <v>76</v>
      </c>
      <c r="G123" s="11" t="n">
        <v>65</v>
      </c>
      <c r="H123" s="12" t="n">
        <v>14584.17329</v>
      </c>
    </row>
    <row r="124" customFormat="false" ht="15" hidden="false" customHeight="false" outlineLevel="0" collapsed="false">
      <c r="A124" s="10" t="s">
        <v>65</v>
      </c>
      <c r="B124" s="10" t="s">
        <v>66</v>
      </c>
      <c r="C124" s="10" t="s">
        <v>87</v>
      </c>
      <c r="D124" s="10" t="s">
        <v>88</v>
      </c>
      <c r="E124" s="10" t="s">
        <v>75</v>
      </c>
      <c r="F124" s="10" t="s">
        <v>76</v>
      </c>
      <c r="G124" s="11" t="n">
        <v>75</v>
      </c>
      <c r="H124" s="12" t="n">
        <v>181028.7488</v>
      </c>
    </row>
    <row r="125" customFormat="false" ht="15" hidden="false" customHeight="false" outlineLevel="0" collapsed="false">
      <c r="A125" s="10" t="s">
        <v>65</v>
      </c>
      <c r="B125" s="10" t="s">
        <v>66</v>
      </c>
      <c r="C125" s="10" t="s">
        <v>87</v>
      </c>
      <c r="D125" s="10" t="s">
        <v>88</v>
      </c>
      <c r="E125" s="10" t="s">
        <v>75</v>
      </c>
      <c r="F125" s="10" t="s">
        <v>76</v>
      </c>
      <c r="G125" s="11" t="n">
        <v>85</v>
      </c>
      <c r="H125" s="12" t="n">
        <v>148720.0183</v>
      </c>
    </row>
    <row r="126" customFormat="false" ht="15" hidden="false" customHeight="false" outlineLevel="0" collapsed="false">
      <c r="A126" s="10" t="s">
        <v>65</v>
      </c>
      <c r="B126" s="10" t="s">
        <v>66</v>
      </c>
      <c r="C126" s="10" t="s">
        <v>87</v>
      </c>
      <c r="D126" s="10" t="s">
        <v>88</v>
      </c>
      <c r="E126" s="10" t="s">
        <v>75</v>
      </c>
      <c r="F126" s="10" t="s">
        <v>76</v>
      </c>
      <c r="G126" s="11" t="n">
        <v>95</v>
      </c>
      <c r="H126" s="12" t="n">
        <v>127116.2404</v>
      </c>
    </row>
    <row r="127" customFormat="false" ht="15" hidden="false" customHeight="false" outlineLevel="0" collapsed="false">
      <c r="A127" s="10" t="s">
        <v>65</v>
      </c>
      <c r="B127" s="10" t="s">
        <v>66</v>
      </c>
      <c r="C127" s="10" t="s">
        <v>87</v>
      </c>
      <c r="D127" s="10" t="s">
        <v>88</v>
      </c>
      <c r="E127" s="10" t="s">
        <v>77</v>
      </c>
      <c r="F127" s="10" t="s">
        <v>78</v>
      </c>
      <c r="G127" s="11" t="n">
        <v>65</v>
      </c>
      <c r="H127" s="12" t="n">
        <v>2321.683978</v>
      </c>
    </row>
    <row r="128" customFormat="false" ht="15" hidden="false" customHeight="false" outlineLevel="0" collapsed="false">
      <c r="A128" s="10" t="s">
        <v>65</v>
      </c>
      <c r="B128" s="10" t="s">
        <v>66</v>
      </c>
      <c r="C128" s="10" t="s">
        <v>87</v>
      </c>
      <c r="D128" s="10" t="s">
        <v>88</v>
      </c>
      <c r="E128" s="10" t="s">
        <v>77</v>
      </c>
      <c r="F128" s="10" t="s">
        <v>78</v>
      </c>
      <c r="G128" s="11" t="n">
        <v>75</v>
      </c>
      <c r="H128" s="12" t="n">
        <v>36739.20318</v>
      </c>
    </row>
    <row r="129" customFormat="false" ht="15" hidden="false" customHeight="false" outlineLevel="0" collapsed="false">
      <c r="A129" s="10" t="s">
        <v>65</v>
      </c>
      <c r="B129" s="10" t="s">
        <v>66</v>
      </c>
      <c r="C129" s="10" t="s">
        <v>87</v>
      </c>
      <c r="D129" s="10" t="s">
        <v>88</v>
      </c>
      <c r="E129" s="10" t="s">
        <v>77</v>
      </c>
      <c r="F129" s="10" t="s">
        <v>78</v>
      </c>
      <c r="G129" s="11" t="n">
        <v>85</v>
      </c>
      <c r="H129" s="12" t="n">
        <v>19842.34193</v>
      </c>
    </row>
    <row r="130" customFormat="false" ht="15" hidden="false" customHeight="false" outlineLevel="0" collapsed="false">
      <c r="A130" s="10" t="s">
        <v>65</v>
      </c>
      <c r="B130" s="10" t="s">
        <v>66</v>
      </c>
      <c r="C130" s="10" t="s">
        <v>87</v>
      </c>
      <c r="D130" s="10" t="s">
        <v>88</v>
      </c>
      <c r="E130" s="10" t="s">
        <v>77</v>
      </c>
      <c r="F130" s="10" t="s">
        <v>78</v>
      </c>
      <c r="G130" s="11" t="n">
        <v>95</v>
      </c>
      <c r="H130" s="12" t="n">
        <v>24494.14781</v>
      </c>
    </row>
    <row r="131" customFormat="false" ht="15" hidden="false" customHeight="false" outlineLevel="0" collapsed="false">
      <c r="A131" s="10" t="s">
        <v>65</v>
      </c>
      <c r="B131" s="10" t="s">
        <v>66</v>
      </c>
      <c r="C131" s="10" t="s">
        <v>87</v>
      </c>
      <c r="D131" s="10" t="s">
        <v>88</v>
      </c>
      <c r="E131" s="10" t="s">
        <v>77</v>
      </c>
      <c r="F131" s="10" t="s">
        <v>78</v>
      </c>
      <c r="G131" s="11" t="n">
        <v>105</v>
      </c>
      <c r="H131" s="12" t="n">
        <v>9496.791397</v>
      </c>
    </row>
    <row r="132" customFormat="false" ht="15" hidden="false" customHeight="false" outlineLevel="0" collapsed="false">
      <c r="A132" s="10" t="s">
        <v>65</v>
      </c>
      <c r="B132" s="10" t="s">
        <v>66</v>
      </c>
      <c r="C132" s="10" t="s">
        <v>87</v>
      </c>
      <c r="D132" s="10" t="s">
        <v>88</v>
      </c>
      <c r="E132" s="10" t="s">
        <v>79</v>
      </c>
      <c r="F132" s="10" t="s">
        <v>80</v>
      </c>
      <c r="G132" s="11" t="n">
        <v>55</v>
      </c>
      <c r="H132" s="12" t="n">
        <v>4152.517815</v>
      </c>
    </row>
    <row r="133" customFormat="false" ht="15" hidden="false" customHeight="false" outlineLevel="0" collapsed="false">
      <c r="A133" s="10" t="s">
        <v>65</v>
      </c>
      <c r="B133" s="10" t="s">
        <v>66</v>
      </c>
      <c r="C133" s="10" t="s">
        <v>87</v>
      </c>
      <c r="D133" s="10" t="s">
        <v>88</v>
      </c>
      <c r="E133" s="10" t="s">
        <v>79</v>
      </c>
      <c r="F133" s="10" t="s">
        <v>80</v>
      </c>
      <c r="G133" s="11" t="n">
        <v>65</v>
      </c>
      <c r="H133" s="12" t="n">
        <v>53944.72347</v>
      </c>
    </row>
    <row r="134" customFormat="false" ht="15" hidden="false" customHeight="false" outlineLevel="0" collapsed="false">
      <c r="A134" s="10" t="s">
        <v>65</v>
      </c>
      <c r="B134" s="10" t="s">
        <v>66</v>
      </c>
      <c r="C134" s="10" t="s">
        <v>87</v>
      </c>
      <c r="D134" s="10" t="s">
        <v>88</v>
      </c>
      <c r="E134" s="10" t="s">
        <v>79</v>
      </c>
      <c r="F134" s="10" t="s">
        <v>80</v>
      </c>
      <c r="G134" s="11" t="n">
        <v>75</v>
      </c>
      <c r="H134" s="12" t="n">
        <v>84244.88579</v>
      </c>
    </row>
    <row r="135" customFormat="false" ht="15" hidden="false" customHeight="false" outlineLevel="0" collapsed="false">
      <c r="A135" s="10" t="s">
        <v>65</v>
      </c>
      <c r="B135" s="10" t="s">
        <v>66</v>
      </c>
      <c r="C135" s="10" t="s">
        <v>87</v>
      </c>
      <c r="D135" s="10" t="s">
        <v>88</v>
      </c>
      <c r="E135" s="10" t="s">
        <v>79</v>
      </c>
      <c r="F135" s="10" t="s">
        <v>80</v>
      </c>
      <c r="G135" s="11" t="n">
        <v>85</v>
      </c>
      <c r="H135" s="12" t="n">
        <v>70486.13497</v>
      </c>
    </row>
    <row r="136" customFormat="false" ht="15" hidden="false" customHeight="false" outlineLevel="0" collapsed="false">
      <c r="A136" s="10" t="s">
        <v>65</v>
      </c>
      <c r="B136" s="10" t="s">
        <v>66</v>
      </c>
      <c r="C136" s="10" t="s">
        <v>87</v>
      </c>
      <c r="D136" s="10" t="s">
        <v>88</v>
      </c>
      <c r="E136" s="10" t="s">
        <v>79</v>
      </c>
      <c r="F136" s="10" t="s">
        <v>80</v>
      </c>
      <c r="G136" s="11" t="n">
        <v>95</v>
      </c>
      <c r="H136" s="12" t="n">
        <v>6622.648587</v>
      </c>
    </row>
    <row r="137" customFormat="false" ht="15" hidden="false" customHeight="false" outlineLevel="0" collapsed="false">
      <c r="A137" s="10" t="s">
        <v>65</v>
      </c>
      <c r="B137" s="10" t="s">
        <v>66</v>
      </c>
      <c r="C137" s="10" t="s">
        <v>87</v>
      </c>
      <c r="D137" s="10" t="s">
        <v>88</v>
      </c>
      <c r="E137" s="10" t="s">
        <v>81</v>
      </c>
      <c r="F137" s="10" t="s">
        <v>82</v>
      </c>
      <c r="G137" s="11" t="n">
        <v>75</v>
      </c>
      <c r="H137" s="12" t="n">
        <v>180.9000058</v>
      </c>
    </row>
    <row r="138" customFormat="false" ht="15" hidden="false" customHeight="false" outlineLevel="0" collapsed="false">
      <c r="A138" s="10" t="s">
        <v>65</v>
      </c>
      <c r="B138" s="10" t="s">
        <v>66</v>
      </c>
      <c r="C138" s="10" t="s">
        <v>87</v>
      </c>
      <c r="D138" s="10" t="s">
        <v>88</v>
      </c>
      <c r="E138" s="10" t="s">
        <v>81</v>
      </c>
      <c r="F138" s="10" t="s">
        <v>82</v>
      </c>
      <c r="G138" s="11" t="n">
        <v>85</v>
      </c>
      <c r="H138" s="12" t="n">
        <v>696.7850034</v>
      </c>
    </row>
    <row r="139" customFormat="false" ht="15" hidden="false" customHeight="false" outlineLevel="0" collapsed="false">
      <c r="A139" s="10" t="s">
        <v>65</v>
      </c>
      <c r="B139" s="10" t="s">
        <v>66</v>
      </c>
      <c r="C139" s="10" t="s">
        <v>87</v>
      </c>
      <c r="D139" s="10" t="s">
        <v>88</v>
      </c>
      <c r="E139" s="10" t="s">
        <v>81</v>
      </c>
      <c r="F139" s="10" t="s">
        <v>82</v>
      </c>
      <c r="G139" s="11" t="n">
        <v>95</v>
      </c>
      <c r="H139" s="12" t="n">
        <v>1914.479901</v>
      </c>
    </row>
    <row r="140" customFormat="false" ht="15" hidden="false" customHeight="false" outlineLevel="0" collapsed="false">
      <c r="A140" s="10" t="s">
        <v>65</v>
      </c>
      <c r="B140" s="10" t="s">
        <v>66</v>
      </c>
      <c r="C140" s="10" t="s">
        <v>87</v>
      </c>
      <c r="D140" s="10" t="s">
        <v>88</v>
      </c>
      <c r="E140" s="10" t="s">
        <v>81</v>
      </c>
      <c r="F140" s="10" t="s">
        <v>82</v>
      </c>
      <c r="G140" s="11" t="n">
        <v>105</v>
      </c>
      <c r="H140" s="12" t="n">
        <v>451.0842633</v>
      </c>
    </row>
    <row r="141" customFormat="false" ht="15" hidden="false" customHeight="false" outlineLevel="0" collapsed="false">
      <c r="A141" s="10" t="s">
        <v>65</v>
      </c>
      <c r="B141" s="10" t="s">
        <v>66</v>
      </c>
      <c r="C141" s="10" t="s">
        <v>87</v>
      </c>
      <c r="D141" s="10" t="s">
        <v>88</v>
      </c>
      <c r="E141" s="10" t="s">
        <v>81</v>
      </c>
      <c r="F141" s="10" t="s">
        <v>82</v>
      </c>
      <c r="G141" s="11" t="n">
        <v>115</v>
      </c>
      <c r="H141" s="12" t="n">
        <v>430.7050904</v>
      </c>
    </row>
    <row r="142" customFormat="false" ht="15" hidden="false" customHeight="false" outlineLevel="0" collapsed="false">
      <c r="A142" s="10" t="s">
        <v>65</v>
      </c>
      <c r="B142" s="10" t="s">
        <v>66</v>
      </c>
      <c r="C142" s="10" t="s">
        <v>87</v>
      </c>
      <c r="D142" s="10" t="s">
        <v>88</v>
      </c>
      <c r="E142" s="10" t="s">
        <v>81</v>
      </c>
      <c r="F142" s="10" t="s">
        <v>82</v>
      </c>
      <c r="G142" s="11" t="n">
        <v>125</v>
      </c>
      <c r="H142" s="12" t="n">
        <v>351.8437634</v>
      </c>
    </row>
    <row r="143" customFormat="false" ht="15" hidden="false" customHeight="false" outlineLevel="0" collapsed="false">
      <c r="A143" s="10" t="s">
        <v>65</v>
      </c>
      <c r="B143" s="10" t="s">
        <v>66</v>
      </c>
      <c r="C143" s="10" t="s">
        <v>87</v>
      </c>
      <c r="D143" s="10" t="s">
        <v>88</v>
      </c>
      <c r="E143" s="10" t="s">
        <v>83</v>
      </c>
      <c r="F143" s="10" t="s">
        <v>84</v>
      </c>
      <c r="G143" s="11" t="n">
        <v>75</v>
      </c>
      <c r="H143" s="12" t="n">
        <v>491.7500101</v>
      </c>
    </row>
    <row r="144" customFormat="false" ht="15" hidden="false" customHeight="false" outlineLevel="0" collapsed="false">
      <c r="A144" s="10" t="s">
        <v>65</v>
      </c>
      <c r="B144" s="10" t="s">
        <v>66</v>
      </c>
      <c r="C144" s="10" t="s">
        <v>87</v>
      </c>
      <c r="D144" s="10" t="s">
        <v>88</v>
      </c>
      <c r="E144" s="10" t="s">
        <v>83</v>
      </c>
      <c r="F144" s="10" t="s">
        <v>84</v>
      </c>
      <c r="G144" s="11" t="n">
        <v>85</v>
      </c>
      <c r="H144" s="12" t="n">
        <v>274.4024415</v>
      </c>
    </row>
    <row r="145" customFormat="false" ht="15" hidden="false" customHeight="false" outlineLevel="0" collapsed="false">
      <c r="A145" s="10" t="s">
        <v>65</v>
      </c>
      <c r="B145" s="10" t="s">
        <v>66</v>
      </c>
      <c r="C145" s="10" t="s">
        <v>87</v>
      </c>
      <c r="D145" s="10" t="s">
        <v>88</v>
      </c>
      <c r="E145" s="10" t="s">
        <v>83</v>
      </c>
      <c r="F145" s="10" t="s">
        <v>84</v>
      </c>
      <c r="G145" s="11" t="n">
        <v>95</v>
      </c>
      <c r="H145" s="12" t="n">
        <v>375.6790864</v>
      </c>
    </row>
    <row r="146" customFormat="false" ht="15" hidden="false" customHeight="false" outlineLevel="0" collapsed="false">
      <c r="A146" s="10" t="s">
        <v>65</v>
      </c>
      <c r="B146" s="10" t="s">
        <v>66</v>
      </c>
      <c r="C146" s="10" t="s">
        <v>89</v>
      </c>
      <c r="D146" s="10" t="s">
        <v>90</v>
      </c>
      <c r="E146" s="10" t="s">
        <v>69</v>
      </c>
      <c r="F146" s="10" t="s">
        <v>70</v>
      </c>
      <c r="G146" s="11" t="n">
        <v>5</v>
      </c>
      <c r="H146" s="12" t="n">
        <v>31926.90788</v>
      </c>
    </row>
    <row r="147" customFormat="false" ht="15" hidden="false" customHeight="false" outlineLevel="0" collapsed="false">
      <c r="A147" s="10" t="s">
        <v>65</v>
      </c>
      <c r="B147" s="10" t="s">
        <v>66</v>
      </c>
      <c r="C147" s="10" t="s">
        <v>89</v>
      </c>
      <c r="D147" s="10" t="s">
        <v>90</v>
      </c>
      <c r="E147" s="10" t="s">
        <v>71</v>
      </c>
      <c r="F147" s="10" t="s">
        <v>72</v>
      </c>
      <c r="G147" s="11" t="n">
        <v>5</v>
      </c>
      <c r="H147" s="12" t="n">
        <v>134474.9514</v>
      </c>
    </row>
    <row r="148" customFormat="false" ht="15" hidden="false" customHeight="false" outlineLevel="0" collapsed="false">
      <c r="A148" s="10" t="s">
        <v>65</v>
      </c>
      <c r="B148" s="10" t="s">
        <v>66</v>
      </c>
      <c r="C148" s="10" t="s">
        <v>89</v>
      </c>
      <c r="D148" s="10" t="s">
        <v>90</v>
      </c>
      <c r="E148" s="10" t="s">
        <v>71</v>
      </c>
      <c r="F148" s="10" t="s">
        <v>72</v>
      </c>
      <c r="G148" s="11" t="n">
        <v>15</v>
      </c>
      <c r="H148" s="12" t="n">
        <v>106283.9275</v>
      </c>
    </row>
    <row r="149" customFormat="false" ht="15" hidden="false" customHeight="false" outlineLevel="0" collapsed="false">
      <c r="A149" s="10" t="s">
        <v>65</v>
      </c>
      <c r="B149" s="10" t="s">
        <v>66</v>
      </c>
      <c r="C149" s="10" t="s">
        <v>89</v>
      </c>
      <c r="D149" s="10" t="s">
        <v>90</v>
      </c>
      <c r="E149" s="10" t="s">
        <v>73</v>
      </c>
      <c r="F149" s="10" t="s">
        <v>74</v>
      </c>
      <c r="G149" s="11" t="n">
        <v>5</v>
      </c>
      <c r="H149" s="12" t="n">
        <v>209735.4716</v>
      </c>
    </row>
    <row r="150" customFormat="false" ht="15" hidden="false" customHeight="false" outlineLevel="0" collapsed="false">
      <c r="A150" s="10" t="s">
        <v>65</v>
      </c>
      <c r="B150" s="10" t="s">
        <v>66</v>
      </c>
      <c r="C150" s="10" t="s">
        <v>89</v>
      </c>
      <c r="D150" s="10" t="s">
        <v>90</v>
      </c>
      <c r="E150" s="10" t="s">
        <v>73</v>
      </c>
      <c r="F150" s="10" t="s">
        <v>74</v>
      </c>
      <c r="G150" s="11" t="n">
        <v>15</v>
      </c>
      <c r="H150" s="12" t="n">
        <v>79517.33704</v>
      </c>
    </row>
    <row r="151" customFormat="false" ht="15" hidden="false" customHeight="false" outlineLevel="0" collapsed="false">
      <c r="A151" s="10" t="s">
        <v>65</v>
      </c>
      <c r="B151" s="10" t="s">
        <v>66</v>
      </c>
      <c r="C151" s="10" t="s">
        <v>89</v>
      </c>
      <c r="D151" s="10" t="s">
        <v>90</v>
      </c>
      <c r="E151" s="10" t="s">
        <v>75</v>
      </c>
      <c r="F151" s="10" t="s">
        <v>76</v>
      </c>
      <c r="G151" s="11" t="n">
        <v>5</v>
      </c>
      <c r="H151" s="12" t="n">
        <v>79605.95774</v>
      </c>
    </row>
    <row r="152" customFormat="false" ht="15" hidden="false" customHeight="false" outlineLevel="0" collapsed="false">
      <c r="A152" s="10" t="s">
        <v>65</v>
      </c>
      <c r="B152" s="10" t="s">
        <v>66</v>
      </c>
      <c r="C152" s="10" t="s">
        <v>89</v>
      </c>
      <c r="D152" s="10" t="s">
        <v>90</v>
      </c>
      <c r="E152" s="10" t="s">
        <v>77</v>
      </c>
      <c r="F152" s="10" t="s">
        <v>78</v>
      </c>
      <c r="G152" s="11" t="n">
        <v>5</v>
      </c>
      <c r="H152" s="12" t="n">
        <v>39071.80955</v>
      </c>
    </row>
    <row r="153" customFormat="false" ht="15" hidden="false" customHeight="false" outlineLevel="0" collapsed="false">
      <c r="A153" s="10" t="s">
        <v>65</v>
      </c>
      <c r="B153" s="10" t="s">
        <v>66</v>
      </c>
      <c r="C153" s="10" t="s">
        <v>89</v>
      </c>
      <c r="D153" s="10" t="s">
        <v>90</v>
      </c>
      <c r="E153" s="10" t="s">
        <v>79</v>
      </c>
      <c r="F153" s="10" t="s">
        <v>80</v>
      </c>
      <c r="G153" s="11" t="n">
        <v>5</v>
      </c>
      <c r="H153" s="12" t="n">
        <v>64765.72414</v>
      </c>
    </row>
    <row r="154" customFormat="false" ht="15" hidden="false" customHeight="false" outlineLevel="0" collapsed="false">
      <c r="A154" s="10" t="s">
        <v>65</v>
      </c>
      <c r="B154" s="10" t="s">
        <v>66</v>
      </c>
      <c r="C154" s="10" t="s">
        <v>89</v>
      </c>
      <c r="D154" s="10" t="s">
        <v>90</v>
      </c>
      <c r="E154" s="10" t="s">
        <v>81</v>
      </c>
      <c r="F154" s="10" t="s">
        <v>82</v>
      </c>
      <c r="G154" s="11" t="n">
        <v>5</v>
      </c>
      <c r="H154" s="12" t="n">
        <v>1748.504797</v>
      </c>
    </row>
    <row r="155" customFormat="false" ht="15" hidden="false" customHeight="false" outlineLevel="0" collapsed="false">
      <c r="A155" s="10" t="s">
        <v>65</v>
      </c>
      <c r="B155" s="10" t="s">
        <v>66</v>
      </c>
      <c r="C155" s="10" t="s">
        <v>89</v>
      </c>
      <c r="D155" s="10" t="s">
        <v>90</v>
      </c>
      <c r="E155" s="10" t="s">
        <v>81</v>
      </c>
      <c r="F155" s="10" t="s">
        <v>82</v>
      </c>
      <c r="G155" s="11" t="n">
        <v>15</v>
      </c>
      <c r="H155" s="12" t="n">
        <v>1037.546958</v>
      </c>
    </row>
    <row r="156" customFormat="false" ht="15" hidden="false" customHeight="false" outlineLevel="0" collapsed="false">
      <c r="A156" s="10" t="s">
        <v>65</v>
      </c>
      <c r="B156" s="10" t="s">
        <v>66</v>
      </c>
      <c r="C156" s="10" t="s">
        <v>89</v>
      </c>
      <c r="D156" s="10" t="s">
        <v>90</v>
      </c>
      <c r="E156" s="10" t="s">
        <v>83</v>
      </c>
      <c r="F156" s="10" t="s">
        <v>84</v>
      </c>
      <c r="G156" s="11" t="n">
        <v>5</v>
      </c>
      <c r="H156" s="12" t="n">
        <v>81.74359438</v>
      </c>
    </row>
    <row r="157" customFormat="false" ht="15" hidden="false" customHeight="false" outlineLevel="0" collapsed="false">
      <c r="A157" s="10" t="s">
        <v>65</v>
      </c>
      <c r="B157" s="10" t="s">
        <v>66</v>
      </c>
      <c r="C157" s="10" t="s">
        <v>91</v>
      </c>
      <c r="D157" s="10" t="s">
        <v>92</v>
      </c>
      <c r="E157" s="10" t="s">
        <v>69</v>
      </c>
      <c r="F157" s="10" t="s">
        <v>70</v>
      </c>
      <c r="G157" s="11" t="n">
        <v>5</v>
      </c>
      <c r="H157" s="12" t="n">
        <v>1892.396596</v>
      </c>
    </row>
    <row r="158" customFormat="false" ht="15" hidden="false" customHeight="false" outlineLevel="0" collapsed="false">
      <c r="A158" s="10" t="s">
        <v>65</v>
      </c>
      <c r="B158" s="10" t="s">
        <v>66</v>
      </c>
      <c r="C158" s="10" t="s">
        <v>91</v>
      </c>
      <c r="D158" s="10" t="s">
        <v>92</v>
      </c>
      <c r="E158" s="10" t="s">
        <v>69</v>
      </c>
      <c r="F158" s="10" t="s">
        <v>70</v>
      </c>
      <c r="G158" s="11" t="n">
        <v>15</v>
      </c>
      <c r="H158" s="12" t="n">
        <v>16515.94275</v>
      </c>
    </row>
    <row r="159" customFormat="false" ht="15" hidden="false" customHeight="false" outlineLevel="0" collapsed="false">
      <c r="A159" s="10" t="s">
        <v>65</v>
      </c>
      <c r="B159" s="10" t="s">
        <v>66</v>
      </c>
      <c r="C159" s="10" t="s">
        <v>91</v>
      </c>
      <c r="D159" s="10" t="s">
        <v>92</v>
      </c>
      <c r="E159" s="10" t="s">
        <v>69</v>
      </c>
      <c r="F159" s="10" t="s">
        <v>70</v>
      </c>
      <c r="G159" s="11" t="n">
        <v>25</v>
      </c>
      <c r="H159" s="12" t="n">
        <v>19393.93141</v>
      </c>
    </row>
    <row r="160" customFormat="false" ht="15" hidden="false" customHeight="false" outlineLevel="0" collapsed="false">
      <c r="A160" s="10" t="s">
        <v>65</v>
      </c>
      <c r="B160" s="10" t="s">
        <v>66</v>
      </c>
      <c r="C160" s="10" t="s">
        <v>91</v>
      </c>
      <c r="D160" s="10" t="s">
        <v>92</v>
      </c>
      <c r="E160" s="10" t="s">
        <v>71</v>
      </c>
      <c r="F160" s="10" t="s">
        <v>72</v>
      </c>
      <c r="G160" s="11" t="n">
        <v>15</v>
      </c>
      <c r="H160" s="12" t="n">
        <v>8451.303231</v>
      </c>
    </row>
    <row r="161" customFormat="false" ht="15" hidden="false" customHeight="false" outlineLevel="0" collapsed="false">
      <c r="A161" s="10" t="s">
        <v>65</v>
      </c>
      <c r="B161" s="10" t="s">
        <v>66</v>
      </c>
      <c r="C161" s="10" t="s">
        <v>91</v>
      </c>
      <c r="D161" s="10" t="s">
        <v>92</v>
      </c>
      <c r="E161" s="10" t="s">
        <v>71</v>
      </c>
      <c r="F161" s="10" t="s">
        <v>72</v>
      </c>
      <c r="G161" s="11" t="n">
        <v>25</v>
      </c>
      <c r="H161" s="12" t="n">
        <v>120525.2289</v>
      </c>
    </row>
    <row r="162" customFormat="false" ht="15" hidden="false" customHeight="false" outlineLevel="0" collapsed="false">
      <c r="A162" s="10" t="s">
        <v>65</v>
      </c>
      <c r="B162" s="10" t="s">
        <v>66</v>
      </c>
      <c r="C162" s="10" t="s">
        <v>91</v>
      </c>
      <c r="D162" s="10" t="s">
        <v>92</v>
      </c>
      <c r="E162" s="10" t="s">
        <v>71</v>
      </c>
      <c r="F162" s="10" t="s">
        <v>72</v>
      </c>
      <c r="G162" s="11" t="n">
        <v>35</v>
      </c>
      <c r="H162" s="12" t="n">
        <v>100764.9138</v>
      </c>
    </row>
    <row r="163" customFormat="false" ht="15" hidden="false" customHeight="false" outlineLevel="0" collapsed="false">
      <c r="A163" s="10" t="s">
        <v>65</v>
      </c>
      <c r="B163" s="10" t="s">
        <v>66</v>
      </c>
      <c r="C163" s="10" t="s">
        <v>91</v>
      </c>
      <c r="D163" s="10" t="s">
        <v>92</v>
      </c>
      <c r="E163" s="10" t="s">
        <v>73</v>
      </c>
      <c r="F163" s="10" t="s">
        <v>74</v>
      </c>
      <c r="G163" s="11" t="n">
        <v>5</v>
      </c>
      <c r="H163" s="12" t="n">
        <v>2249.124764</v>
      </c>
    </row>
    <row r="164" customFormat="false" ht="15" hidden="false" customHeight="false" outlineLevel="0" collapsed="false">
      <c r="A164" s="10" t="s">
        <v>65</v>
      </c>
      <c r="B164" s="10" t="s">
        <v>66</v>
      </c>
      <c r="C164" s="10" t="s">
        <v>91</v>
      </c>
      <c r="D164" s="10" t="s">
        <v>92</v>
      </c>
      <c r="E164" s="10" t="s">
        <v>73</v>
      </c>
      <c r="F164" s="10" t="s">
        <v>74</v>
      </c>
      <c r="G164" s="11" t="n">
        <v>15</v>
      </c>
      <c r="H164" s="12" t="n">
        <v>188364.6928</v>
      </c>
    </row>
    <row r="165" customFormat="false" ht="15" hidden="false" customHeight="false" outlineLevel="0" collapsed="false">
      <c r="A165" s="10" t="s">
        <v>65</v>
      </c>
      <c r="B165" s="10" t="s">
        <v>66</v>
      </c>
      <c r="C165" s="10" t="s">
        <v>91</v>
      </c>
      <c r="D165" s="10" t="s">
        <v>92</v>
      </c>
      <c r="E165" s="10" t="s">
        <v>73</v>
      </c>
      <c r="F165" s="10" t="s">
        <v>74</v>
      </c>
      <c r="G165" s="11" t="n">
        <v>25</v>
      </c>
      <c r="H165" s="12" t="n">
        <v>320677.8524</v>
      </c>
    </row>
    <row r="166" customFormat="false" ht="15" hidden="false" customHeight="false" outlineLevel="0" collapsed="false">
      <c r="A166" s="10" t="s">
        <v>65</v>
      </c>
      <c r="B166" s="10" t="s">
        <v>66</v>
      </c>
      <c r="C166" s="10" t="s">
        <v>91</v>
      </c>
      <c r="D166" s="10" t="s">
        <v>92</v>
      </c>
      <c r="E166" s="10" t="s">
        <v>73</v>
      </c>
      <c r="F166" s="10" t="s">
        <v>74</v>
      </c>
      <c r="G166" s="11" t="n">
        <v>35</v>
      </c>
      <c r="H166" s="12" t="n">
        <v>189245.0984</v>
      </c>
    </row>
    <row r="167" customFormat="false" ht="15" hidden="false" customHeight="false" outlineLevel="0" collapsed="false">
      <c r="A167" s="10" t="s">
        <v>65</v>
      </c>
      <c r="B167" s="10" t="s">
        <v>66</v>
      </c>
      <c r="C167" s="10" t="s">
        <v>91</v>
      </c>
      <c r="D167" s="10" t="s">
        <v>92</v>
      </c>
      <c r="E167" s="10" t="s">
        <v>75</v>
      </c>
      <c r="F167" s="10" t="s">
        <v>76</v>
      </c>
      <c r="G167" s="11" t="n">
        <v>5</v>
      </c>
      <c r="H167" s="12" t="n">
        <v>4846.850017</v>
      </c>
    </row>
    <row r="168" customFormat="false" ht="15" hidden="false" customHeight="false" outlineLevel="0" collapsed="false">
      <c r="A168" s="10" t="s">
        <v>65</v>
      </c>
      <c r="B168" s="10" t="s">
        <v>66</v>
      </c>
      <c r="C168" s="10" t="s">
        <v>91</v>
      </c>
      <c r="D168" s="10" t="s">
        <v>92</v>
      </c>
      <c r="E168" s="10" t="s">
        <v>75</v>
      </c>
      <c r="F168" s="10" t="s">
        <v>76</v>
      </c>
      <c r="G168" s="11" t="n">
        <v>15</v>
      </c>
      <c r="H168" s="12" t="n">
        <v>50586.89107</v>
      </c>
    </row>
    <row r="169" customFormat="false" ht="15" hidden="false" customHeight="false" outlineLevel="0" collapsed="false">
      <c r="A169" s="10" t="s">
        <v>65</v>
      </c>
      <c r="B169" s="10" t="s">
        <v>66</v>
      </c>
      <c r="C169" s="10" t="s">
        <v>91</v>
      </c>
      <c r="D169" s="10" t="s">
        <v>92</v>
      </c>
      <c r="E169" s="10" t="s">
        <v>75</v>
      </c>
      <c r="F169" s="10" t="s">
        <v>76</v>
      </c>
      <c r="G169" s="11" t="n">
        <v>25</v>
      </c>
      <c r="H169" s="12" t="n">
        <v>90015.4281</v>
      </c>
    </row>
    <row r="170" customFormat="false" ht="15" hidden="false" customHeight="false" outlineLevel="0" collapsed="false">
      <c r="A170" s="10" t="s">
        <v>65</v>
      </c>
      <c r="B170" s="10" t="s">
        <v>66</v>
      </c>
      <c r="C170" s="10" t="s">
        <v>91</v>
      </c>
      <c r="D170" s="10" t="s">
        <v>92</v>
      </c>
      <c r="E170" s="10" t="s">
        <v>77</v>
      </c>
      <c r="F170" s="10" t="s">
        <v>78</v>
      </c>
      <c r="G170" s="11" t="n">
        <v>5</v>
      </c>
      <c r="H170" s="12" t="n">
        <v>3845.734211</v>
      </c>
    </row>
    <row r="171" customFormat="false" ht="15" hidden="false" customHeight="false" outlineLevel="0" collapsed="false">
      <c r="A171" s="10" t="s">
        <v>65</v>
      </c>
      <c r="B171" s="10" t="s">
        <v>66</v>
      </c>
      <c r="C171" s="10" t="s">
        <v>91</v>
      </c>
      <c r="D171" s="10" t="s">
        <v>92</v>
      </c>
      <c r="E171" s="10" t="s">
        <v>77</v>
      </c>
      <c r="F171" s="10" t="s">
        <v>78</v>
      </c>
      <c r="G171" s="11" t="n">
        <v>15</v>
      </c>
      <c r="H171" s="12" t="n">
        <v>72486.10776</v>
      </c>
    </row>
    <row r="172" customFormat="false" ht="15" hidden="false" customHeight="false" outlineLevel="0" collapsed="false">
      <c r="A172" s="10" t="s">
        <v>65</v>
      </c>
      <c r="B172" s="10" t="s">
        <v>66</v>
      </c>
      <c r="C172" s="10" t="s">
        <v>91</v>
      </c>
      <c r="D172" s="10" t="s">
        <v>92</v>
      </c>
      <c r="E172" s="10" t="s">
        <v>77</v>
      </c>
      <c r="F172" s="10" t="s">
        <v>78</v>
      </c>
      <c r="G172" s="11" t="n">
        <v>25</v>
      </c>
      <c r="H172" s="12" t="n">
        <v>80014.21406</v>
      </c>
    </row>
    <row r="173" customFormat="false" ht="15" hidden="false" customHeight="false" outlineLevel="0" collapsed="false">
      <c r="A173" s="10" t="s">
        <v>65</v>
      </c>
      <c r="B173" s="10" t="s">
        <v>66</v>
      </c>
      <c r="C173" s="10" t="s">
        <v>91</v>
      </c>
      <c r="D173" s="10" t="s">
        <v>92</v>
      </c>
      <c r="E173" s="10" t="s">
        <v>79</v>
      </c>
      <c r="F173" s="10" t="s">
        <v>80</v>
      </c>
      <c r="G173" s="11" t="n">
        <v>5</v>
      </c>
      <c r="H173" s="12" t="n">
        <v>5981.243812</v>
      </c>
    </row>
    <row r="174" customFormat="false" ht="15" hidden="false" customHeight="false" outlineLevel="0" collapsed="false">
      <c r="A174" s="10" t="s">
        <v>65</v>
      </c>
      <c r="B174" s="10" t="s">
        <v>66</v>
      </c>
      <c r="C174" s="10" t="s">
        <v>91</v>
      </c>
      <c r="D174" s="10" t="s">
        <v>92</v>
      </c>
      <c r="E174" s="10" t="s">
        <v>79</v>
      </c>
      <c r="F174" s="10" t="s">
        <v>80</v>
      </c>
      <c r="G174" s="11" t="n">
        <v>15</v>
      </c>
      <c r="H174" s="12" t="n">
        <v>96280.87483</v>
      </c>
    </row>
    <row r="175" customFormat="false" ht="15" hidden="false" customHeight="false" outlineLevel="0" collapsed="false">
      <c r="A175" s="10" t="s">
        <v>65</v>
      </c>
      <c r="B175" s="10" t="s">
        <v>66</v>
      </c>
      <c r="C175" s="10" t="s">
        <v>91</v>
      </c>
      <c r="D175" s="10" t="s">
        <v>92</v>
      </c>
      <c r="E175" s="10" t="s">
        <v>79</v>
      </c>
      <c r="F175" s="10" t="s">
        <v>80</v>
      </c>
      <c r="G175" s="11" t="n">
        <v>25</v>
      </c>
      <c r="H175" s="12" t="n">
        <v>93559.98764</v>
      </c>
    </row>
    <row r="176" customFormat="false" ht="15" hidden="false" customHeight="false" outlineLevel="0" collapsed="false">
      <c r="A176" s="10" t="s">
        <v>65</v>
      </c>
      <c r="B176" s="10" t="s">
        <v>66</v>
      </c>
      <c r="C176" s="10" t="s">
        <v>91</v>
      </c>
      <c r="D176" s="10" t="s">
        <v>92</v>
      </c>
      <c r="E176" s="10" t="s">
        <v>81</v>
      </c>
      <c r="F176" s="10" t="s">
        <v>82</v>
      </c>
      <c r="G176" s="11" t="n">
        <v>15</v>
      </c>
      <c r="H176" s="12" t="n">
        <v>1144.577203</v>
      </c>
    </row>
    <row r="177" customFormat="false" ht="15" hidden="false" customHeight="false" outlineLevel="0" collapsed="false">
      <c r="A177" s="10" t="s">
        <v>65</v>
      </c>
      <c r="B177" s="10" t="s">
        <v>66</v>
      </c>
      <c r="C177" s="10" t="s">
        <v>91</v>
      </c>
      <c r="D177" s="10" t="s">
        <v>92</v>
      </c>
      <c r="E177" s="10" t="s">
        <v>81</v>
      </c>
      <c r="F177" s="10" t="s">
        <v>82</v>
      </c>
      <c r="G177" s="11" t="n">
        <v>25</v>
      </c>
      <c r="H177" s="12" t="n">
        <v>747.1054938</v>
      </c>
    </row>
    <row r="178" customFormat="false" ht="15" hidden="false" customHeight="false" outlineLevel="0" collapsed="false">
      <c r="A178" s="10" t="s">
        <v>65</v>
      </c>
      <c r="B178" s="10" t="s">
        <v>66</v>
      </c>
      <c r="C178" s="10" t="s">
        <v>91</v>
      </c>
      <c r="D178" s="10" t="s">
        <v>92</v>
      </c>
      <c r="E178" s="10" t="s">
        <v>81</v>
      </c>
      <c r="F178" s="10" t="s">
        <v>82</v>
      </c>
      <c r="G178" s="11" t="n">
        <v>35</v>
      </c>
      <c r="H178" s="12" t="n">
        <v>288.1199988</v>
      </c>
    </row>
    <row r="179" customFormat="false" ht="15" hidden="false" customHeight="false" outlineLevel="0" collapsed="false">
      <c r="A179" s="10" t="s">
        <v>65</v>
      </c>
      <c r="B179" s="10" t="s">
        <v>66</v>
      </c>
      <c r="C179" s="10" t="s">
        <v>91</v>
      </c>
      <c r="D179" s="10" t="s">
        <v>92</v>
      </c>
      <c r="E179" s="10" t="s">
        <v>83</v>
      </c>
      <c r="F179" s="10" t="s">
        <v>84</v>
      </c>
      <c r="G179" s="11" t="n">
        <v>15</v>
      </c>
      <c r="H179" s="12" t="n">
        <v>16.74999976</v>
      </c>
    </row>
    <row r="180" customFormat="false" ht="15" hidden="false" customHeight="false" outlineLevel="0" collapsed="false">
      <c r="A180" s="10" t="s">
        <v>65</v>
      </c>
      <c r="B180" s="10" t="s">
        <v>66</v>
      </c>
      <c r="C180" s="10" t="s">
        <v>91</v>
      </c>
      <c r="D180" s="10" t="s">
        <v>92</v>
      </c>
      <c r="E180" s="10" t="s">
        <v>83</v>
      </c>
      <c r="F180" s="10" t="s">
        <v>84</v>
      </c>
      <c r="G180" s="11" t="n">
        <v>25</v>
      </c>
      <c r="H180" s="12" t="n">
        <v>3.74000001</v>
      </c>
    </row>
  </sheetData>
  <autoFilter ref="A1:H18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50"/>
  </cols>
  <sheetData>
    <row r="1" customFormat="false" ht="17.35" hidden="false" customHeight="false" outlineLevel="0" collapsed="false">
      <c r="A1" s="1" t="s">
        <v>93</v>
      </c>
      <c r="B1" s="1"/>
    </row>
    <row r="2" customFormat="false" ht="15" hidden="false" customHeight="false" outlineLevel="0" collapsed="false">
      <c r="A2" s="2" t="s">
        <v>94</v>
      </c>
      <c r="B2" s="2"/>
    </row>
    <row r="4" customFormat="false" ht="15" hidden="false" customHeight="false" outlineLevel="0" collapsed="false">
      <c r="A4" s="5" t="s">
        <v>95</v>
      </c>
      <c r="B4" s="5" t="s">
        <v>96</v>
      </c>
    </row>
    <row r="5" customFormat="false" ht="31.5" hidden="false" customHeight="true" outlineLevel="0" collapsed="false">
      <c r="A5" s="7" t="s">
        <v>97</v>
      </c>
      <c r="B5" s="13" t="n">
        <f aca="false">COUNTA(Data!$E$2:$E$180)</f>
        <v>179</v>
      </c>
    </row>
    <row r="6" customFormat="false" ht="31.5" hidden="false" customHeight="true" outlineLevel="0" collapsed="false">
      <c r="A6" s="7" t="s">
        <v>98</v>
      </c>
      <c r="B6" s="7" t="s">
        <v>99</v>
      </c>
    </row>
    <row r="7" customFormat="false" ht="31.5" hidden="false" customHeight="true" outlineLevel="0" collapsed="false">
      <c r="A7" s="7" t="s">
        <v>100</v>
      </c>
      <c r="B7" s="7" t="s">
        <v>99</v>
      </c>
    </row>
    <row r="8" customFormat="false" ht="31.5" hidden="false" customHeight="true" outlineLevel="0" collapsed="false">
      <c r="A8" s="7" t="s">
        <v>101</v>
      </c>
      <c r="B8" s="7" t="s">
        <v>65</v>
      </c>
    </row>
    <row r="9" customFormat="false" ht="31.5" hidden="false" customHeight="true" outlineLevel="0" collapsed="false">
      <c r="A9" s="7" t="s">
        <v>102</v>
      </c>
      <c r="B9" s="7" t="s">
        <v>103</v>
      </c>
    </row>
    <row r="10" customFormat="false" ht="31.5" hidden="false" customHeight="true" outlineLevel="0" collapsed="false">
      <c r="A10" s="7" t="s">
        <v>104</v>
      </c>
      <c r="B10" s="7" t="s">
        <v>7</v>
      </c>
    </row>
  </sheetData>
  <mergeCells count="2">
    <mergeCell ref="A1:B1"/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75"/>
    <col collapsed="false" customWidth="true" hidden="false" outlineLevel="0" max="3" min="3" style="0" width="22"/>
  </cols>
  <sheetData>
    <row r="1" customFormat="false" ht="17.35" hidden="false" customHeight="false" outlineLevel="0" collapsed="false">
      <c r="A1" s="1" t="s">
        <v>105</v>
      </c>
      <c r="B1" s="1"/>
      <c r="C1" s="1"/>
    </row>
    <row r="2" customFormat="false" ht="15" hidden="false" customHeight="false" outlineLevel="0" collapsed="false">
      <c r="A2" s="2"/>
      <c r="B2" s="2"/>
      <c r="C2" s="2"/>
    </row>
    <row r="4" customFormat="false" ht="15" hidden="false" customHeight="false" outlineLevel="0" collapsed="false">
      <c r="A4" s="5" t="s">
        <v>106</v>
      </c>
      <c r="B4" s="5" t="s">
        <v>107</v>
      </c>
      <c r="C4" s="5" t="s">
        <v>108</v>
      </c>
    </row>
    <row r="5" customFormat="false" ht="25.5" hidden="false" customHeight="true" outlineLevel="0" collapsed="false">
      <c r="A5" s="7" t="s">
        <v>109</v>
      </c>
      <c r="B5" s="14" t="s">
        <v>110</v>
      </c>
      <c r="C5" s="15" t="n">
        <f aca="false">SUM(Data!$H$2:$H$180)</f>
        <v>8996039.06872639</v>
      </c>
    </row>
    <row r="6" customFormat="false" ht="25.5" hidden="false" customHeight="true" outlineLevel="0" collapsed="false">
      <c r="A6" s="7" t="s">
        <v>111</v>
      </c>
      <c r="B6" s="14" t="s">
        <v>112</v>
      </c>
      <c r="C6" s="15" t="n">
        <f aca="false">AVERAGE(Data!$H$2:$H$180)</f>
        <v>50257.2015012648</v>
      </c>
    </row>
    <row r="7" customFormat="false" ht="25.5" hidden="false" customHeight="true" outlineLevel="0" collapsed="false">
      <c r="A7" s="7" t="s">
        <v>113</v>
      </c>
      <c r="B7" s="14" t="s">
        <v>114</v>
      </c>
      <c r="C7" s="15" t="n">
        <f aca="false">MEDIAN(Data!$H$2:$H$180)</f>
        <v>12676.28685</v>
      </c>
    </row>
    <row r="8" customFormat="false" ht="25.5" hidden="false" customHeight="true" outlineLevel="0" collapsed="false">
      <c r="A8" s="7" t="s">
        <v>115</v>
      </c>
      <c r="B8" s="14" t="s">
        <v>116</v>
      </c>
      <c r="C8" s="15" t="n">
        <f aca="false">MAX(Data!$H$2:$H$180)</f>
        <v>320677.8524</v>
      </c>
    </row>
    <row r="9" customFormat="false" ht="25.5" hidden="false" customHeight="true" outlineLevel="0" collapsed="false">
      <c r="A9" s="7" t="s">
        <v>117</v>
      </c>
      <c r="B9" s="14" t="s">
        <v>118</v>
      </c>
      <c r="C9" s="16" t="n">
        <f aca="false">COUNT(Data!$H$2:$H$180)</f>
        <v>179</v>
      </c>
    </row>
    <row r="10" customFormat="false" ht="25.5" hidden="false" customHeight="true" outlineLevel="0" collapsed="false">
      <c r="A10" s="7" t="s">
        <v>119</v>
      </c>
      <c r="B10" s="14" t="s">
        <v>120</v>
      </c>
      <c r="C10" s="15" t="n">
        <f aca="false">COUNTIF(Data!$F$2:$F$180, "Jack Pine")</f>
        <v>22</v>
      </c>
    </row>
    <row r="11" customFormat="false" ht="25.5" hidden="false" customHeight="true" outlineLevel="0" collapsed="false">
      <c r="A11" s="7" t="s">
        <v>121</v>
      </c>
      <c r="B11" s="14" t="s">
        <v>122</v>
      </c>
      <c r="C11" s="15" t="n">
        <f aca="false">SUMIF(Data!$D$2:$D$180, "Mature", Data!$H$2:$H$180)</f>
        <v>2680433.7493363</v>
      </c>
    </row>
    <row r="12" customFormat="false" ht="25.5" hidden="false" customHeight="true" outlineLevel="0" collapsed="false">
      <c r="A12" s="7" t="s">
        <v>123</v>
      </c>
      <c r="B12" s="14" t="s">
        <v>124</v>
      </c>
      <c r="C12" s="15" t="n">
        <f aca="false">AVERAGEIF(Data!$F$2:$F$180, "Jack Pine", Data!$H$2:$H$180)</f>
        <v>19441.5773069179</v>
      </c>
    </row>
    <row r="13" customFormat="false" ht="25.5" hidden="false" customHeight="true" outlineLevel="0" collapsed="false">
      <c r="A13" s="7" t="s">
        <v>125</v>
      </c>
      <c r="B13" s="14" t="s">
        <v>126</v>
      </c>
      <c r="C13" s="15" t="n">
        <f aca="false">SUMIFS(Data!$H$2:$H$180, Data!$F$2:$F$180, "Jack Pine", Data!$D$2:$D$180, "Mature")</f>
        <v>92894.168295</v>
      </c>
    </row>
    <row r="14" customFormat="false" ht="25.5" hidden="false" customHeight="true" outlineLevel="0" collapsed="false">
      <c r="A14" s="7" t="s">
        <v>127</v>
      </c>
      <c r="B14" s="14" t="s">
        <v>128</v>
      </c>
      <c r="C14" s="15" t="n">
        <f aca="false">SUMIFS(Data!$H$2:$H$180, Data!$F$2:$F$180, "Jack Pine", Data!$D$2:$D$180, "Mature", Data!$G$2:$G$180, "&gt;=95")</f>
        <v>33990.939207</v>
      </c>
    </row>
  </sheetData>
  <mergeCells count="2">
    <mergeCell ref="A1:C1"/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0"/>
    <col collapsed="false" customWidth="true" hidden="false" outlineLevel="0" max="3" min="3" style="0" width="18"/>
    <col collapsed="false" customWidth="true" hidden="false" outlineLevel="0" max="4" min="4" style="0" width="14"/>
  </cols>
  <sheetData>
    <row r="1" customFormat="false" ht="17.35" hidden="false" customHeight="false" outlineLevel="0" collapsed="false">
      <c r="A1" s="1" t="s">
        <v>129</v>
      </c>
      <c r="B1" s="1"/>
      <c r="C1" s="1"/>
      <c r="D1" s="1"/>
    </row>
    <row r="2" customFormat="false" ht="15" hidden="false" customHeight="false" outlineLevel="0" collapsed="false">
      <c r="A2" s="2"/>
      <c r="B2" s="2"/>
      <c r="C2" s="2"/>
      <c r="D2" s="2"/>
    </row>
    <row r="4" customFormat="false" ht="15" hidden="false" customHeight="false" outlineLevel="0" collapsed="false">
      <c r="A4" s="5" t="s">
        <v>53</v>
      </c>
      <c r="B4" s="5" t="s">
        <v>46</v>
      </c>
      <c r="C4" s="5" t="s">
        <v>61</v>
      </c>
      <c r="D4" s="5" t="s">
        <v>130</v>
      </c>
    </row>
    <row r="5" customFormat="false" ht="15" hidden="false" customHeight="false" outlineLevel="0" collapsed="false">
      <c r="A5" s="7" t="str">
        <f aca="false">Data!F2</f>
        <v>White Birch</v>
      </c>
      <c r="B5" s="7" t="str">
        <f aca="false">Data!D2</f>
        <v>Immature</v>
      </c>
      <c r="C5" s="15" t="n">
        <f aca="false">Data!H2</f>
        <v>2184.068878</v>
      </c>
      <c r="D5" s="17" t="str">
        <f aca="false">IF(C5&lt;1000,"small",IF(C5&lt;50000,"medium","large"))</f>
        <v>medium</v>
      </c>
    </row>
    <row r="6" customFormat="false" ht="15" hidden="false" customHeight="false" outlineLevel="0" collapsed="false">
      <c r="A6" s="7" t="str">
        <f aca="false">Data!F3</f>
        <v>White Birch</v>
      </c>
      <c r="B6" s="7" t="str">
        <f aca="false">Data!D3</f>
        <v>Immature</v>
      </c>
      <c r="C6" s="15" t="n">
        <f aca="false">Data!H3</f>
        <v>26085.57404</v>
      </c>
      <c r="D6" s="17" t="str">
        <f aca="false">IF(C6&lt;1000,"small",IF(C6&lt;50000,"medium","large"))</f>
        <v>medium</v>
      </c>
    </row>
    <row r="7" customFormat="false" ht="15" hidden="false" customHeight="false" outlineLevel="0" collapsed="false">
      <c r="A7" s="7" t="str">
        <f aca="false">Data!F4</f>
        <v>White Birch</v>
      </c>
      <c r="B7" s="7" t="str">
        <f aca="false">Data!D4</f>
        <v>Immature</v>
      </c>
      <c r="C7" s="15" t="n">
        <f aca="false">Data!H4</f>
        <v>35013.66681</v>
      </c>
      <c r="D7" s="17" t="str">
        <f aca="false">IF(C7&lt;1000,"small",IF(C7&lt;50000,"medium","large"))</f>
        <v>medium</v>
      </c>
    </row>
    <row r="8" customFormat="false" ht="15" hidden="false" customHeight="false" outlineLevel="0" collapsed="false">
      <c r="A8" s="7" t="str">
        <f aca="false">Data!F5</f>
        <v>White Birch</v>
      </c>
      <c r="B8" s="7" t="str">
        <f aca="false">Data!D5</f>
        <v>Immature</v>
      </c>
      <c r="C8" s="15" t="n">
        <f aca="false">Data!H5</f>
        <v>30931.22745</v>
      </c>
      <c r="D8" s="17" t="str">
        <f aca="false">IF(C8&lt;1000,"small",IF(C8&lt;50000,"medium","large"))</f>
        <v>medium</v>
      </c>
    </row>
    <row r="9" customFormat="false" ht="15" hidden="false" customHeight="false" outlineLevel="0" collapsed="false">
      <c r="A9" s="7" t="str">
        <f aca="false">Data!F6</f>
        <v>White Birch</v>
      </c>
      <c r="B9" s="7" t="str">
        <f aca="false">Data!D6</f>
        <v>Immature</v>
      </c>
      <c r="C9" s="15" t="n">
        <f aca="false">Data!H6</f>
        <v>11447.969</v>
      </c>
      <c r="D9" s="17" t="str">
        <f aca="false">IF(C9&lt;1000,"small",IF(C9&lt;50000,"medium","large"))</f>
        <v>medium</v>
      </c>
    </row>
    <row r="10" customFormat="false" ht="15" hidden="false" customHeight="false" outlineLevel="0" collapsed="false">
      <c r="A10" s="7" t="str">
        <f aca="false">Data!F7</f>
        <v>Conifer Lowland</v>
      </c>
      <c r="B10" s="7" t="str">
        <f aca="false">Data!D7</f>
        <v>Immature</v>
      </c>
      <c r="C10" s="15" t="n">
        <f aca="false">Data!H7</f>
        <v>12354.66896</v>
      </c>
      <c r="D10" s="17" t="str">
        <f aca="false">IF(C10&lt;1000,"small",IF(C10&lt;50000,"medium","large"))</f>
        <v>medium</v>
      </c>
    </row>
    <row r="11" customFormat="false" ht="15" hidden="false" customHeight="false" outlineLevel="0" collapsed="false">
      <c r="A11" s="7" t="str">
        <f aca="false">Data!F8</f>
        <v>Conifer Lowland</v>
      </c>
      <c r="B11" s="7" t="str">
        <f aca="false">Data!D8</f>
        <v>Immature</v>
      </c>
      <c r="C11" s="15" t="n">
        <f aca="false">Data!H8</f>
        <v>117488.2911</v>
      </c>
      <c r="D11" s="17" t="str">
        <f aca="false">IF(C11&lt;1000,"small",IF(C11&lt;50000,"medium","large"))</f>
        <v>large</v>
      </c>
    </row>
    <row r="12" customFormat="false" ht="15" hidden="false" customHeight="false" outlineLevel="0" collapsed="false">
      <c r="A12" s="7" t="str">
        <f aca="false">Data!F9</f>
        <v>Conifer Lowland</v>
      </c>
      <c r="B12" s="7" t="str">
        <f aca="false">Data!D9</f>
        <v>Immature</v>
      </c>
      <c r="C12" s="15" t="n">
        <f aca="false">Data!H9</f>
        <v>92190.10005</v>
      </c>
      <c r="D12" s="17" t="str">
        <f aca="false">IF(C12&lt;1000,"small",IF(C12&lt;50000,"medium","large"))</f>
        <v>large</v>
      </c>
    </row>
    <row r="13" customFormat="false" ht="15" hidden="false" customHeight="false" outlineLevel="0" collapsed="false">
      <c r="A13" s="7" t="str">
        <f aca="false">Data!F10</f>
        <v>Conifer Lowland</v>
      </c>
      <c r="B13" s="7" t="str">
        <f aca="false">Data!D10</f>
        <v>Immature</v>
      </c>
      <c r="C13" s="15" t="n">
        <f aca="false">Data!H10</f>
        <v>98951.67733</v>
      </c>
      <c r="D13" s="17" t="str">
        <f aca="false">IF(C13&lt;1000,"small",IF(C13&lt;50000,"medium","large"))</f>
        <v>large</v>
      </c>
    </row>
    <row r="14" customFormat="false" ht="15" hidden="false" customHeight="false" outlineLevel="0" collapsed="false">
      <c r="A14" s="7" t="str">
        <f aca="false">Data!F11</f>
        <v>Conifer Lowland</v>
      </c>
      <c r="B14" s="7" t="str">
        <f aca="false">Data!D11</f>
        <v>Immature</v>
      </c>
      <c r="C14" s="15" t="n">
        <f aca="false">Data!H11</f>
        <v>105329.2712</v>
      </c>
      <c r="D14" s="17" t="str">
        <f aca="false">IF(C14&lt;1000,"small",IF(C14&lt;50000,"medium","large"))</f>
        <v>large</v>
      </c>
    </row>
    <row r="15" customFormat="false" ht="15" hidden="false" customHeight="false" outlineLevel="0" collapsed="false">
      <c r="A15" s="7" t="str">
        <f aca="false">Data!F12</f>
        <v>Conifer Upland</v>
      </c>
      <c r="B15" s="7" t="str">
        <f aca="false">Data!D12</f>
        <v>Immature</v>
      </c>
      <c r="C15" s="15" t="n">
        <f aca="false">Data!H12</f>
        <v>4114.20097</v>
      </c>
      <c r="D15" s="17" t="str">
        <f aca="false">IF(C15&lt;1000,"small",IF(C15&lt;50000,"medium","large"))</f>
        <v>medium</v>
      </c>
    </row>
    <row r="16" customFormat="false" ht="15" hidden="false" customHeight="false" outlineLevel="0" collapsed="false">
      <c r="A16" s="7" t="str">
        <f aca="false">Data!F13</f>
        <v>Conifer Upland</v>
      </c>
      <c r="B16" s="7" t="str">
        <f aca="false">Data!D13</f>
        <v>Immature</v>
      </c>
      <c r="C16" s="15" t="n">
        <f aca="false">Data!H13</f>
        <v>47291.21112</v>
      </c>
      <c r="D16" s="17" t="str">
        <f aca="false">IF(C16&lt;1000,"small",IF(C16&lt;50000,"medium","large"))</f>
        <v>medium</v>
      </c>
    </row>
    <row r="17" customFormat="false" ht="15" hidden="false" customHeight="false" outlineLevel="0" collapsed="false">
      <c r="A17" s="7" t="str">
        <f aca="false">Data!F14</f>
        <v>Conifer Upland</v>
      </c>
      <c r="B17" s="7" t="str">
        <f aca="false">Data!D14</f>
        <v>Immature</v>
      </c>
      <c r="C17" s="15" t="n">
        <f aca="false">Data!H14</f>
        <v>165884.8543</v>
      </c>
      <c r="D17" s="17" t="str">
        <f aca="false">IF(C17&lt;1000,"small",IF(C17&lt;50000,"medium","large"))</f>
        <v>large</v>
      </c>
    </row>
    <row r="18" customFormat="false" ht="15" hidden="false" customHeight="false" outlineLevel="0" collapsed="false">
      <c r="A18" s="7" t="str">
        <f aca="false">Data!F15</f>
        <v>Conifer Upland</v>
      </c>
      <c r="B18" s="7" t="str">
        <f aca="false">Data!D15</f>
        <v>Immature</v>
      </c>
      <c r="C18" s="15" t="n">
        <f aca="false">Data!H15</f>
        <v>154722.4182</v>
      </c>
      <c r="D18" s="17" t="str">
        <f aca="false">IF(C18&lt;1000,"small",IF(C18&lt;50000,"medium","large"))</f>
        <v>large</v>
      </c>
    </row>
    <row r="19" customFormat="false" ht="15" hidden="false" customHeight="false" outlineLevel="0" collapsed="false">
      <c r="A19" s="7" t="str">
        <f aca="false">Data!F16</f>
        <v>Conifer Upland</v>
      </c>
      <c r="B19" s="7" t="str">
        <f aca="false">Data!D16</f>
        <v>Immature</v>
      </c>
      <c r="C19" s="15" t="n">
        <f aca="false">Data!H16</f>
        <v>142198.0597</v>
      </c>
      <c r="D19" s="17" t="str">
        <f aca="false">IF(C19&lt;1000,"small",IF(C19&lt;50000,"medium","large"))</f>
        <v>large</v>
      </c>
    </row>
    <row r="20" customFormat="false" ht="15" hidden="false" customHeight="false" outlineLevel="0" collapsed="false">
      <c r="A20" s="7" t="str">
        <f aca="false">Data!F17</f>
        <v>Conifer Upland</v>
      </c>
      <c r="B20" s="7" t="str">
        <f aca="false">Data!D17</f>
        <v>Immature</v>
      </c>
      <c r="C20" s="15" t="n">
        <f aca="false">Data!H17</f>
        <v>141176.0584</v>
      </c>
      <c r="D20" s="17" t="str">
        <f aca="false">IF(C20&lt;1000,"small",IF(C20&lt;50000,"medium","large"))</f>
        <v>large</v>
      </c>
    </row>
    <row r="21" customFormat="false" ht="15" hidden="false" customHeight="false" outlineLevel="0" collapsed="false">
      <c r="A21" s="7" t="str">
        <f aca="false">Data!F18</f>
        <v>Mixedwood</v>
      </c>
      <c r="B21" s="7" t="str">
        <f aca="false">Data!D18</f>
        <v>Immature</v>
      </c>
      <c r="C21" s="15" t="n">
        <f aca="false">Data!H18</f>
        <v>10931.64131</v>
      </c>
      <c r="D21" s="17" t="str">
        <f aca="false">IF(C21&lt;1000,"small",IF(C21&lt;50000,"medium","large"))</f>
        <v>medium</v>
      </c>
    </row>
    <row r="22" customFormat="false" ht="15" hidden="false" customHeight="false" outlineLevel="0" collapsed="false">
      <c r="A22" s="7" t="str">
        <f aca="false">Data!F19</f>
        <v>Mixedwood</v>
      </c>
      <c r="B22" s="7" t="str">
        <f aca="false">Data!D19</f>
        <v>Immature</v>
      </c>
      <c r="C22" s="15" t="n">
        <f aca="false">Data!H19</f>
        <v>109269.2064</v>
      </c>
      <c r="D22" s="17" t="str">
        <f aca="false">IF(C22&lt;1000,"small",IF(C22&lt;50000,"medium","large"))</f>
        <v>large</v>
      </c>
    </row>
    <row r="23" customFormat="false" ht="15" hidden="false" customHeight="false" outlineLevel="0" collapsed="false">
      <c r="A23" s="7" t="str">
        <f aca="false">Data!F20</f>
        <v>Mixedwood</v>
      </c>
      <c r="B23" s="7" t="str">
        <f aca="false">Data!D20</f>
        <v>Immature</v>
      </c>
      <c r="C23" s="15" t="n">
        <f aca="false">Data!H20</f>
        <v>125484.3115</v>
      </c>
      <c r="D23" s="17" t="str">
        <f aca="false">IF(C23&lt;1000,"small",IF(C23&lt;50000,"medium","large"))</f>
        <v>large</v>
      </c>
    </row>
    <row r="24" customFormat="false" ht="15" hidden="false" customHeight="false" outlineLevel="0" collapsed="false">
      <c r="A24" s="7" t="str">
        <f aca="false">Data!F21</f>
        <v>Mixedwood</v>
      </c>
      <c r="B24" s="7" t="str">
        <f aca="false">Data!D21</f>
        <v>Immature</v>
      </c>
      <c r="C24" s="15" t="n">
        <f aca="false">Data!H21</f>
        <v>128893.4383</v>
      </c>
      <c r="D24" s="17" t="str">
        <f aca="false">IF(C24&lt;1000,"small",IF(C24&lt;50000,"medium","large"))</f>
        <v>large</v>
      </c>
    </row>
    <row r="25" customFormat="false" ht="15" hidden="false" customHeight="false" outlineLevel="0" collapsed="false">
      <c r="A25" s="7" t="str">
        <f aca="false">Data!F22</f>
        <v>Mixedwood</v>
      </c>
      <c r="B25" s="7" t="str">
        <f aca="false">Data!D22</f>
        <v>Immature</v>
      </c>
      <c r="C25" s="15" t="n">
        <f aca="false">Data!H22</f>
        <v>119162.6191</v>
      </c>
      <c r="D25" s="17" t="str">
        <f aca="false">IF(C25&lt;1000,"small",IF(C25&lt;50000,"medium","large"))</f>
        <v>large</v>
      </c>
    </row>
    <row r="26" customFormat="false" ht="15" hidden="false" customHeight="false" outlineLevel="0" collapsed="false">
      <c r="A26" s="7" t="str">
        <f aca="false">Data!F23</f>
        <v>Jack Pine</v>
      </c>
      <c r="B26" s="7" t="str">
        <f aca="false">Data!D23</f>
        <v>Immature</v>
      </c>
      <c r="C26" s="15" t="n">
        <f aca="false">Data!H23</f>
        <v>7931.566701</v>
      </c>
      <c r="D26" s="17" t="str">
        <f aca="false">IF(C26&lt;1000,"small",IF(C26&lt;50000,"medium","large"))</f>
        <v>medium</v>
      </c>
    </row>
    <row r="27" customFormat="false" ht="15" hidden="false" customHeight="false" outlineLevel="0" collapsed="false">
      <c r="A27" s="7" t="str">
        <f aca="false">Data!F24</f>
        <v>Jack Pine</v>
      </c>
      <c r="B27" s="7" t="str">
        <f aca="false">Data!D24</f>
        <v>Immature</v>
      </c>
      <c r="C27" s="15" t="n">
        <f aca="false">Data!H24</f>
        <v>59476.58716</v>
      </c>
      <c r="D27" s="17" t="str">
        <f aca="false">IF(C27&lt;1000,"small",IF(C27&lt;50000,"medium","large"))</f>
        <v>large</v>
      </c>
    </row>
    <row r="28" customFormat="false" ht="15" hidden="false" customHeight="false" outlineLevel="0" collapsed="false">
      <c r="A28" s="7" t="str">
        <f aca="false">Data!F25</f>
        <v>Jack Pine</v>
      </c>
      <c r="B28" s="7" t="str">
        <f aca="false">Data!D25</f>
        <v>Immature</v>
      </c>
      <c r="C28" s="15" t="n">
        <f aca="false">Data!H25</f>
        <v>31427.24768</v>
      </c>
      <c r="D28" s="17" t="str">
        <f aca="false">IF(C28&lt;1000,"small",IF(C28&lt;50000,"medium","large"))</f>
        <v>medium</v>
      </c>
    </row>
    <row r="29" customFormat="false" ht="15" hidden="false" customHeight="false" outlineLevel="0" collapsed="false">
      <c r="A29" s="7" t="str">
        <f aca="false">Data!F26</f>
        <v>Jack Pine</v>
      </c>
      <c r="B29" s="7" t="str">
        <f aca="false">Data!D26</f>
        <v>Immature</v>
      </c>
      <c r="C29" s="15" t="n">
        <f aca="false">Data!H26</f>
        <v>21793.58587</v>
      </c>
      <c r="D29" s="17" t="str">
        <f aca="false">IF(C29&lt;1000,"small",IF(C29&lt;50000,"medium","large"))</f>
        <v>medium</v>
      </c>
    </row>
    <row r="30" customFormat="false" ht="15" hidden="false" customHeight="false" outlineLevel="0" collapsed="false">
      <c r="A30" s="7" t="str">
        <f aca="false">Data!F27</f>
        <v>Jack Pine</v>
      </c>
      <c r="B30" s="7" t="str">
        <f aca="false">Data!D27</f>
        <v>Immature</v>
      </c>
      <c r="C30" s="15" t="n">
        <f aca="false">Data!H27</f>
        <v>11941.02415</v>
      </c>
      <c r="D30" s="17" t="str">
        <f aca="false">IF(C30&lt;1000,"small",IF(C30&lt;50000,"medium","large"))</f>
        <v>medium</v>
      </c>
    </row>
    <row r="31" customFormat="false" ht="15" hidden="false" customHeight="false" outlineLevel="0" collapsed="false">
      <c r="A31" s="7" t="str">
        <f aca="false">Data!F28</f>
        <v>Poplar</v>
      </c>
      <c r="B31" s="7" t="str">
        <f aca="false">Data!D28</f>
        <v>Immature</v>
      </c>
      <c r="C31" s="15" t="n">
        <f aca="false">Data!H28</f>
        <v>8123.757845</v>
      </c>
      <c r="D31" s="17" t="str">
        <f aca="false">IF(C31&lt;1000,"small",IF(C31&lt;50000,"medium","large"))</f>
        <v>medium</v>
      </c>
    </row>
    <row r="32" customFormat="false" ht="15" hidden="false" customHeight="false" outlineLevel="0" collapsed="false">
      <c r="A32" s="7" t="str">
        <f aca="false">Data!F29</f>
        <v>Poplar</v>
      </c>
      <c r="B32" s="7" t="str">
        <f aca="false">Data!D29</f>
        <v>Immature</v>
      </c>
      <c r="C32" s="15" t="n">
        <f aca="false">Data!H29</f>
        <v>68386.5766</v>
      </c>
      <c r="D32" s="17" t="str">
        <f aca="false">IF(C32&lt;1000,"small",IF(C32&lt;50000,"medium","large"))</f>
        <v>large</v>
      </c>
    </row>
    <row r="33" customFormat="false" ht="15" hidden="false" customHeight="false" outlineLevel="0" collapsed="false">
      <c r="A33" s="7" t="str">
        <f aca="false">Data!F30</f>
        <v>Poplar</v>
      </c>
      <c r="B33" s="7" t="str">
        <f aca="false">Data!D30</f>
        <v>Immature</v>
      </c>
      <c r="C33" s="15" t="n">
        <f aca="false">Data!H30</f>
        <v>65832.27353</v>
      </c>
      <c r="D33" s="17" t="str">
        <f aca="false">IF(C33&lt;1000,"small",IF(C33&lt;50000,"medium","large"))</f>
        <v>large</v>
      </c>
    </row>
    <row r="34" customFormat="false" ht="15" hidden="false" customHeight="false" outlineLevel="0" collapsed="false">
      <c r="A34" s="7" t="str">
        <f aca="false">Data!F31</f>
        <v>Poplar</v>
      </c>
      <c r="B34" s="7" t="str">
        <f aca="false">Data!D31</f>
        <v>Immature</v>
      </c>
      <c r="C34" s="15" t="n">
        <f aca="false">Data!H31</f>
        <v>40840.30684</v>
      </c>
      <c r="D34" s="17" t="str">
        <f aca="false">IF(C34&lt;1000,"small",IF(C34&lt;50000,"medium","large"))</f>
        <v>medium</v>
      </c>
    </row>
    <row r="35" customFormat="false" ht="15" hidden="false" customHeight="false" outlineLevel="0" collapsed="false">
      <c r="A35" s="7" t="str">
        <f aca="false">Data!F32</f>
        <v>Poplar</v>
      </c>
      <c r="B35" s="7" t="str">
        <f aca="false">Data!D32</f>
        <v>Immature</v>
      </c>
      <c r="C35" s="15" t="n">
        <f aca="false">Data!H32</f>
        <v>6105.797904</v>
      </c>
      <c r="D35" s="17" t="str">
        <f aca="false">IF(C35&lt;1000,"small",IF(C35&lt;50000,"medium","large"))</f>
        <v>medium</v>
      </c>
    </row>
    <row r="36" customFormat="false" ht="15" hidden="false" customHeight="false" outlineLevel="0" collapsed="false">
      <c r="A36" s="7" t="str">
        <f aca="false">Data!F33</f>
        <v>Red and White Pine</v>
      </c>
      <c r="B36" s="7" t="str">
        <f aca="false">Data!D33</f>
        <v>Immature</v>
      </c>
      <c r="C36" s="15" t="n">
        <f aca="false">Data!H33</f>
        <v>9.920000076</v>
      </c>
      <c r="D36" s="17" t="str">
        <f aca="false">IF(C36&lt;1000,"small",IF(C36&lt;50000,"medium","large"))</f>
        <v>small</v>
      </c>
    </row>
    <row r="37" customFormat="false" ht="15" hidden="false" customHeight="false" outlineLevel="0" collapsed="false">
      <c r="A37" s="7" t="str">
        <f aca="false">Data!F34</f>
        <v>Red and White Pine</v>
      </c>
      <c r="B37" s="7" t="str">
        <f aca="false">Data!D34</f>
        <v>Immature</v>
      </c>
      <c r="C37" s="15" t="n">
        <f aca="false">Data!H34</f>
        <v>209.6819236</v>
      </c>
      <c r="D37" s="17" t="str">
        <f aca="false">IF(C37&lt;1000,"small",IF(C37&lt;50000,"medium","large"))</f>
        <v>small</v>
      </c>
    </row>
    <row r="38" customFormat="false" ht="15" hidden="false" customHeight="false" outlineLevel="0" collapsed="false">
      <c r="A38" s="7" t="str">
        <f aca="false">Data!F35</f>
        <v>Red and White Pine</v>
      </c>
      <c r="B38" s="7" t="str">
        <f aca="false">Data!D35</f>
        <v>Immature</v>
      </c>
      <c r="C38" s="15" t="n">
        <f aca="false">Data!H35</f>
        <v>662.6645334</v>
      </c>
      <c r="D38" s="17" t="str">
        <f aca="false">IF(C38&lt;1000,"small",IF(C38&lt;50000,"medium","large"))</f>
        <v>small</v>
      </c>
    </row>
    <row r="39" customFormat="false" ht="15" hidden="false" customHeight="false" outlineLevel="0" collapsed="false">
      <c r="A39" s="7" t="str">
        <f aca="false">Data!F36</f>
        <v>Red and White Pine</v>
      </c>
      <c r="B39" s="7" t="str">
        <f aca="false">Data!D36</f>
        <v>Immature</v>
      </c>
      <c r="C39" s="15" t="n">
        <f aca="false">Data!H36</f>
        <v>861.2551446</v>
      </c>
      <c r="D39" s="17" t="str">
        <f aca="false">IF(C39&lt;1000,"small",IF(C39&lt;50000,"medium","large"))</f>
        <v>small</v>
      </c>
    </row>
    <row r="40" customFormat="false" ht="15" hidden="false" customHeight="false" outlineLevel="0" collapsed="false">
      <c r="A40" s="7" t="str">
        <f aca="false">Data!F37</f>
        <v>Red and White Pine</v>
      </c>
      <c r="B40" s="7" t="str">
        <f aca="false">Data!D37</f>
        <v>Immature</v>
      </c>
      <c r="C40" s="15" t="n">
        <f aca="false">Data!H37</f>
        <v>478.3667102</v>
      </c>
      <c r="D40" s="17" t="str">
        <f aca="false">IF(C40&lt;1000,"small",IF(C40&lt;50000,"medium","large"))</f>
        <v>small</v>
      </c>
    </row>
    <row r="41" customFormat="false" ht="15" hidden="false" customHeight="false" outlineLevel="0" collapsed="false">
      <c r="A41" s="7" t="str">
        <f aca="false">Data!F38</f>
        <v>Tolerant Hardwoods</v>
      </c>
      <c r="B41" s="7" t="str">
        <f aca="false">Data!D38</f>
        <v>Immature</v>
      </c>
      <c r="C41" s="15" t="n">
        <f aca="false">Data!H38</f>
        <v>87.57999921</v>
      </c>
      <c r="D41" s="17" t="str">
        <f aca="false">IF(C41&lt;1000,"small",IF(C41&lt;50000,"medium","large"))</f>
        <v>small</v>
      </c>
    </row>
    <row r="42" customFormat="false" ht="15" hidden="false" customHeight="false" outlineLevel="0" collapsed="false">
      <c r="A42" s="7" t="str">
        <f aca="false">Data!F39</f>
        <v>Tolerant Hardwoods</v>
      </c>
      <c r="B42" s="7" t="str">
        <f aca="false">Data!D39</f>
        <v>Immature</v>
      </c>
      <c r="C42" s="15" t="n">
        <f aca="false">Data!H39</f>
        <v>113.8000002</v>
      </c>
      <c r="D42" s="17" t="str">
        <f aca="false">IF(C42&lt;1000,"small",IF(C42&lt;50000,"medium","large"))</f>
        <v>small</v>
      </c>
    </row>
    <row r="43" customFormat="false" ht="15" hidden="false" customHeight="false" outlineLevel="0" collapsed="false">
      <c r="A43" s="7" t="str">
        <f aca="false">Data!F40</f>
        <v>Tolerant Hardwoods</v>
      </c>
      <c r="B43" s="7" t="str">
        <f aca="false">Data!D40</f>
        <v>Immature</v>
      </c>
      <c r="C43" s="15" t="n">
        <f aca="false">Data!H40</f>
        <v>125.9199991</v>
      </c>
      <c r="D43" s="17" t="str">
        <f aca="false">IF(C43&lt;1000,"small",IF(C43&lt;50000,"medium","large"))</f>
        <v>small</v>
      </c>
    </row>
    <row r="44" customFormat="false" ht="15" hidden="false" customHeight="false" outlineLevel="0" collapsed="false">
      <c r="A44" s="7" t="str">
        <f aca="false">Data!F41</f>
        <v>Tolerant Hardwoods</v>
      </c>
      <c r="B44" s="7" t="str">
        <f aca="false">Data!D41</f>
        <v>Immature</v>
      </c>
      <c r="C44" s="15" t="n">
        <f aca="false">Data!H41</f>
        <v>148.1300006</v>
      </c>
      <c r="D44" s="17" t="str">
        <f aca="false">IF(C44&lt;1000,"small",IF(C44&lt;50000,"medium","large"))</f>
        <v>small</v>
      </c>
    </row>
    <row r="45" customFormat="false" ht="15" hidden="false" customHeight="false" outlineLevel="0" collapsed="false">
      <c r="A45" s="7" t="str">
        <f aca="false">Data!F42</f>
        <v>White Birch</v>
      </c>
      <c r="B45" s="7" t="str">
        <f aca="false">Data!D42</f>
        <v>Late Successional</v>
      </c>
      <c r="C45" s="15" t="n">
        <f aca="false">Data!H42</f>
        <v>4189.03459</v>
      </c>
      <c r="D45" s="17" t="str">
        <f aca="false">IF(C45&lt;1000,"small",IF(C45&lt;50000,"medium","large"))</f>
        <v>medium</v>
      </c>
    </row>
    <row r="46" customFormat="false" ht="15" hidden="false" customHeight="false" outlineLevel="0" collapsed="false">
      <c r="A46" s="7" t="str">
        <f aca="false">Data!F43</f>
        <v>White Birch</v>
      </c>
      <c r="B46" s="7" t="str">
        <f aca="false">Data!D43</f>
        <v>Late Successional</v>
      </c>
      <c r="C46" s="15" t="n">
        <f aca="false">Data!H43</f>
        <v>56421.61567</v>
      </c>
      <c r="D46" s="17" t="str">
        <f aca="false">IF(C46&lt;1000,"small",IF(C46&lt;50000,"medium","large"))</f>
        <v>large</v>
      </c>
    </row>
    <row r="47" customFormat="false" ht="15" hidden="false" customHeight="false" outlineLevel="0" collapsed="false">
      <c r="A47" s="7" t="str">
        <f aca="false">Data!F44</f>
        <v>White Birch</v>
      </c>
      <c r="B47" s="7" t="str">
        <f aca="false">Data!D44</f>
        <v>Late Successional</v>
      </c>
      <c r="C47" s="15" t="n">
        <f aca="false">Data!H44</f>
        <v>19232.10601</v>
      </c>
      <c r="D47" s="17" t="str">
        <f aca="false">IF(C47&lt;1000,"small",IF(C47&lt;50000,"medium","large"))</f>
        <v>medium</v>
      </c>
    </row>
    <row r="48" customFormat="false" ht="15" hidden="false" customHeight="false" outlineLevel="0" collapsed="false">
      <c r="A48" s="7" t="str">
        <f aca="false">Data!F45</f>
        <v>White Birch</v>
      </c>
      <c r="B48" s="7" t="str">
        <f aca="false">Data!D45</f>
        <v>Late Successional</v>
      </c>
      <c r="C48" s="15" t="n">
        <f aca="false">Data!H45</f>
        <v>7363.763253</v>
      </c>
      <c r="D48" s="17" t="str">
        <f aca="false">IF(C48&lt;1000,"small",IF(C48&lt;50000,"medium","large"))</f>
        <v>medium</v>
      </c>
    </row>
    <row r="49" customFormat="false" ht="15" hidden="false" customHeight="false" outlineLevel="0" collapsed="false">
      <c r="A49" s="7" t="str">
        <f aca="false">Data!F46</f>
        <v>White Birch</v>
      </c>
      <c r="B49" s="7" t="str">
        <f aca="false">Data!D46</f>
        <v>Late Successional</v>
      </c>
      <c r="C49" s="15" t="n">
        <f aca="false">Data!H46</f>
        <v>4532.928644</v>
      </c>
      <c r="D49" s="17" t="str">
        <f aca="false">IF(C49&lt;1000,"small",IF(C49&lt;50000,"medium","large"))</f>
        <v>medium</v>
      </c>
    </row>
    <row r="50" customFormat="false" ht="15" hidden="false" customHeight="false" outlineLevel="0" collapsed="false">
      <c r="A50" s="7" t="str">
        <f aca="false">Data!F47</f>
        <v>White Birch</v>
      </c>
      <c r="B50" s="7" t="str">
        <f aca="false">Data!D47</f>
        <v>Late Successional</v>
      </c>
      <c r="C50" s="15" t="n">
        <f aca="false">Data!H47</f>
        <v>750.8508017</v>
      </c>
      <c r="D50" s="17" t="str">
        <f aca="false">IF(C50&lt;1000,"small",IF(C50&lt;50000,"medium","large"))</f>
        <v>small</v>
      </c>
    </row>
    <row r="51" customFormat="false" ht="15" hidden="false" customHeight="false" outlineLevel="0" collapsed="false">
      <c r="A51" s="7" t="str">
        <f aca="false">Data!F48</f>
        <v>White Birch</v>
      </c>
      <c r="B51" s="7" t="str">
        <f aca="false">Data!D48</f>
        <v>Late Successional</v>
      </c>
      <c r="C51" s="15" t="n">
        <f aca="false">Data!H48</f>
        <v>362.3819833</v>
      </c>
      <c r="D51" s="17" t="str">
        <f aca="false">IF(C51&lt;1000,"small",IF(C51&lt;50000,"medium","large"))</f>
        <v>small</v>
      </c>
    </row>
    <row r="52" customFormat="false" ht="15" hidden="false" customHeight="false" outlineLevel="0" collapsed="false">
      <c r="A52" s="7" t="str">
        <f aca="false">Data!F49</f>
        <v>White Birch</v>
      </c>
      <c r="B52" s="7" t="str">
        <f aca="false">Data!D49</f>
        <v>Late Successional</v>
      </c>
      <c r="C52" s="15" t="n">
        <f aca="false">Data!H49</f>
        <v>66.17072505</v>
      </c>
      <c r="D52" s="17" t="str">
        <f aca="false">IF(C52&lt;1000,"small",IF(C52&lt;50000,"medium","large"))</f>
        <v>small</v>
      </c>
    </row>
    <row r="53" customFormat="false" ht="15" hidden="false" customHeight="false" outlineLevel="0" collapsed="false">
      <c r="A53" s="7" t="str">
        <f aca="false">Data!F50</f>
        <v>White Birch</v>
      </c>
      <c r="B53" s="7" t="str">
        <f aca="false">Data!D50</f>
        <v>Late Successional</v>
      </c>
      <c r="C53" s="15" t="n">
        <f aca="false">Data!H50</f>
        <v>195.4999994</v>
      </c>
      <c r="D53" s="17" t="str">
        <f aca="false">IF(C53&lt;1000,"small",IF(C53&lt;50000,"medium","large"))</f>
        <v>small</v>
      </c>
    </row>
    <row r="54" customFormat="false" ht="15" hidden="false" customHeight="false" outlineLevel="0" collapsed="false">
      <c r="A54" s="7" t="str">
        <f aca="false">Data!F51</f>
        <v>White Birch</v>
      </c>
      <c r="B54" s="7" t="str">
        <f aca="false">Data!D51</f>
        <v>Late Successional</v>
      </c>
      <c r="C54" s="15" t="n">
        <f aca="false">Data!H51</f>
        <v>26.39999938</v>
      </c>
      <c r="D54" s="17" t="str">
        <f aca="false">IF(C54&lt;1000,"small",IF(C54&lt;50000,"medium","large"))</f>
        <v>small</v>
      </c>
    </row>
    <row r="55" customFormat="false" ht="15" hidden="false" customHeight="false" outlineLevel="0" collapsed="false">
      <c r="A55" s="7" t="str">
        <f aca="false">Data!F52</f>
        <v>White Birch</v>
      </c>
      <c r="B55" s="7" t="str">
        <f aca="false">Data!D52</f>
        <v>Late Successional</v>
      </c>
      <c r="C55" s="15" t="n">
        <f aca="false">Data!H52</f>
        <v>13.03999996</v>
      </c>
      <c r="D55" s="17" t="str">
        <f aca="false">IF(C55&lt;1000,"small",IF(C55&lt;50000,"medium","large"))</f>
        <v>small</v>
      </c>
    </row>
    <row r="56" customFormat="false" ht="15" hidden="false" customHeight="false" outlineLevel="0" collapsed="false">
      <c r="A56" s="7" t="str">
        <f aca="false">Data!F53</f>
        <v>Conifer Lowland</v>
      </c>
      <c r="B56" s="7" t="str">
        <f aca="false">Data!D53</f>
        <v>Late Successional</v>
      </c>
      <c r="C56" s="15" t="n">
        <f aca="false">Data!H53</f>
        <v>20536.6414</v>
      </c>
      <c r="D56" s="17" t="str">
        <f aca="false">IF(C56&lt;1000,"small",IF(C56&lt;50000,"medium","large"))</f>
        <v>medium</v>
      </c>
    </row>
    <row r="57" customFormat="false" ht="15" hidden="false" customHeight="false" outlineLevel="0" collapsed="false">
      <c r="A57" s="7" t="str">
        <f aca="false">Data!F54</f>
        <v>Conifer Lowland</v>
      </c>
      <c r="B57" s="7" t="str">
        <f aca="false">Data!D54</f>
        <v>Late Successional</v>
      </c>
      <c r="C57" s="15" t="n">
        <f aca="false">Data!H54</f>
        <v>201019.3764</v>
      </c>
      <c r="D57" s="17" t="str">
        <f aca="false">IF(C57&lt;1000,"small",IF(C57&lt;50000,"medium","large"))</f>
        <v>large</v>
      </c>
    </row>
    <row r="58" customFormat="false" ht="15" hidden="false" customHeight="false" outlineLevel="0" collapsed="false">
      <c r="A58" s="7" t="str">
        <f aca="false">Data!F55</f>
        <v>Conifer Lowland</v>
      </c>
      <c r="B58" s="7" t="str">
        <f aca="false">Data!D55</f>
        <v>Late Successional</v>
      </c>
      <c r="C58" s="15" t="n">
        <f aca="false">Data!H55</f>
        <v>302610.9891</v>
      </c>
      <c r="D58" s="17" t="str">
        <f aca="false">IF(C58&lt;1000,"small",IF(C58&lt;50000,"medium","large"))</f>
        <v>large</v>
      </c>
    </row>
    <row r="59" customFormat="false" ht="15" hidden="false" customHeight="false" outlineLevel="0" collapsed="false">
      <c r="A59" s="7" t="str">
        <f aca="false">Data!F56</f>
        <v>Conifer Lowland</v>
      </c>
      <c r="B59" s="7" t="str">
        <f aca="false">Data!D56</f>
        <v>Late Successional</v>
      </c>
      <c r="C59" s="15" t="n">
        <f aca="false">Data!H56</f>
        <v>185466.8424</v>
      </c>
      <c r="D59" s="17" t="str">
        <f aca="false">IF(C59&lt;1000,"small",IF(C59&lt;50000,"medium","large"))</f>
        <v>large</v>
      </c>
    </row>
    <row r="60" customFormat="false" ht="15" hidden="false" customHeight="false" outlineLevel="0" collapsed="false">
      <c r="A60" s="7" t="str">
        <f aca="false">Data!F57</f>
        <v>Conifer Lowland</v>
      </c>
      <c r="B60" s="7" t="str">
        <f aca="false">Data!D57</f>
        <v>Late Successional</v>
      </c>
      <c r="C60" s="15" t="n">
        <f aca="false">Data!H57</f>
        <v>216412.9031</v>
      </c>
      <c r="D60" s="17" t="str">
        <f aca="false">IF(C60&lt;1000,"small",IF(C60&lt;50000,"medium","large"))</f>
        <v>large</v>
      </c>
    </row>
    <row r="61" customFormat="false" ht="15" hidden="false" customHeight="false" outlineLevel="0" collapsed="false">
      <c r="A61" s="7" t="str">
        <f aca="false">Data!F58</f>
        <v>Conifer Lowland</v>
      </c>
      <c r="B61" s="7" t="str">
        <f aca="false">Data!D58</f>
        <v>Late Successional</v>
      </c>
      <c r="C61" s="15" t="n">
        <f aca="false">Data!H58</f>
        <v>197079.9125</v>
      </c>
      <c r="D61" s="17" t="str">
        <f aca="false">IF(C61&lt;1000,"small",IF(C61&lt;50000,"medium","large"))</f>
        <v>large</v>
      </c>
    </row>
    <row r="62" customFormat="false" ht="15" hidden="false" customHeight="false" outlineLevel="0" collapsed="false">
      <c r="A62" s="7" t="str">
        <f aca="false">Data!F59</f>
        <v>Conifer Lowland</v>
      </c>
      <c r="B62" s="7" t="str">
        <f aca="false">Data!D59</f>
        <v>Late Successional</v>
      </c>
      <c r="C62" s="15" t="n">
        <f aca="false">Data!H59</f>
        <v>51131.37701</v>
      </c>
      <c r="D62" s="17" t="str">
        <f aca="false">IF(C62&lt;1000,"small",IF(C62&lt;50000,"medium","large"))</f>
        <v>large</v>
      </c>
    </row>
    <row r="63" customFormat="false" ht="15" hidden="false" customHeight="false" outlineLevel="0" collapsed="false">
      <c r="A63" s="7" t="str">
        <f aca="false">Data!F60</f>
        <v>Conifer Lowland</v>
      </c>
      <c r="B63" s="7" t="str">
        <f aca="false">Data!D60</f>
        <v>Late Successional</v>
      </c>
      <c r="C63" s="15" t="n">
        <f aca="false">Data!H60</f>
        <v>19251.49483</v>
      </c>
      <c r="D63" s="17" t="str">
        <f aca="false">IF(C63&lt;1000,"small",IF(C63&lt;50000,"medium","large"))</f>
        <v>medium</v>
      </c>
    </row>
    <row r="64" customFormat="false" ht="15" hidden="false" customHeight="false" outlineLevel="0" collapsed="false">
      <c r="A64" s="7" t="str">
        <f aca="false">Data!F61</f>
        <v>Conifer Upland</v>
      </c>
      <c r="B64" s="7" t="str">
        <f aca="false">Data!D61</f>
        <v>Late Successional</v>
      </c>
      <c r="C64" s="15" t="n">
        <f aca="false">Data!H61</f>
        <v>16283.47638</v>
      </c>
      <c r="D64" s="17" t="str">
        <f aca="false">IF(C64&lt;1000,"small",IF(C64&lt;50000,"medium","large"))</f>
        <v>medium</v>
      </c>
    </row>
    <row r="65" customFormat="false" ht="15" hidden="false" customHeight="false" outlineLevel="0" collapsed="false">
      <c r="A65" s="7" t="str">
        <f aca="false">Data!F62</f>
        <v>Conifer Upland</v>
      </c>
      <c r="B65" s="7" t="str">
        <f aca="false">Data!D62</f>
        <v>Late Successional</v>
      </c>
      <c r="C65" s="15" t="n">
        <f aca="false">Data!H62</f>
        <v>168741.1994</v>
      </c>
      <c r="D65" s="17" t="str">
        <f aca="false">IF(C65&lt;1000,"small",IF(C65&lt;50000,"medium","large"))</f>
        <v>large</v>
      </c>
    </row>
    <row r="66" customFormat="false" ht="15" hidden="false" customHeight="false" outlineLevel="0" collapsed="false">
      <c r="A66" s="7" t="str">
        <f aca="false">Data!F63</f>
        <v>Conifer Upland</v>
      </c>
      <c r="B66" s="7" t="str">
        <f aca="false">Data!D63</f>
        <v>Late Successional</v>
      </c>
      <c r="C66" s="15" t="n">
        <f aca="false">Data!H63</f>
        <v>88122.41627</v>
      </c>
      <c r="D66" s="17" t="str">
        <f aca="false">IF(C66&lt;1000,"small",IF(C66&lt;50000,"medium","large"))</f>
        <v>large</v>
      </c>
    </row>
    <row r="67" customFormat="false" ht="15" hidden="false" customHeight="false" outlineLevel="0" collapsed="false">
      <c r="A67" s="7" t="str">
        <f aca="false">Data!F64</f>
        <v>Conifer Upland</v>
      </c>
      <c r="B67" s="7" t="str">
        <f aca="false">Data!D64</f>
        <v>Late Successional</v>
      </c>
      <c r="C67" s="15" t="n">
        <f aca="false">Data!H64</f>
        <v>84060.70852</v>
      </c>
      <c r="D67" s="17" t="str">
        <f aca="false">IF(C67&lt;1000,"small",IF(C67&lt;50000,"medium","large"))</f>
        <v>large</v>
      </c>
    </row>
    <row r="68" customFormat="false" ht="15" hidden="false" customHeight="false" outlineLevel="0" collapsed="false">
      <c r="A68" s="7" t="str">
        <f aca="false">Data!F65</f>
        <v>Conifer Upland</v>
      </c>
      <c r="B68" s="7" t="str">
        <f aca="false">Data!D65</f>
        <v>Late Successional</v>
      </c>
      <c r="C68" s="15" t="n">
        <f aca="false">Data!H65</f>
        <v>47737.89775</v>
      </c>
      <c r="D68" s="17" t="str">
        <f aca="false">IF(C68&lt;1000,"small",IF(C68&lt;50000,"medium","large"))</f>
        <v>medium</v>
      </c>
    </row>
    <row r="69" customFormat="false" ht="15" hidden="false" customHeight="false" outlineLevel="0" collapsed="false">
      <c r="A69" s="7" t="str">
        <f aca="false">Data!F66</f>
        <v>Conifer Upland</v>
      </c>
      <c r="B69" s="7" t="str">
        <f aca="false">Data!D66</f>
        <v>Late Successional</v>
      </c>
      <c r="C69" s="15" t="n">
        <f aca="false">Data!H66</f>
        <v>39229.13692</v>
      </c>
      <c r="D69" s="17" t="str">
        <f aca="false">IF(C69&lt;1000,"small",IF(C69&lt;50000,"medium","large"))</f>
        <v>medium</v>
      </c>
    </row>
    <row r="70" customFormat="false" ht="15" hidden="false" customHeight="false" outlineLevel="0" collapsed="false">
      <c r="A70" s="7" t="str">
        <f aca="false">Data!F67</f>
        <v>Conifer Upland</v>
      </c>
      <c r="B70" s="7" t="str">
        <f aca="false">Data!D67</f>
        <v>Late Successional</v>
      </c>
      <c r="C70" s="15" t="n">
        <f aca="false">Data!H67</f>
        <v>20714.38631</v>
      </c>
      <c r="D70" s="17" t="str">
        <f aca="false">IF(C70&lt;1000,"small",IF(C70&lt;50000,"medium","large"))</f>
        <v>medium</v>
      </c>
    </row>
    <row r="71" customFormat="false" ht="15" hidden="false" customHeight="false" outlineLevel="0" collapsed="false">
      <c r="A71" s="7" t="str">
        <f aca="false">Data!F68</f>
        <v>Conifer Upland</v>
      </c>
      <c r="B71" s="7" t="str">
        <f aca="false">Data!D68</f>
        <v>Late Successional</v>
      </c>
      <c r="C71" s="15" t="n">
        <f aca="false">Data!H68</f>
        <v>7478.269692</v>
      </c>
      <c r="D71" s="17" t="str">
        <f aca="false">IF(C71&lt;1000,"small",IF(C71&lt;50000,"medium","large"))</f>
        <v>medium</v>
      </c>
    </row>
    <row r="72" customFormat="false" ht="15" hidden="false" customHeight="false" outlineLevel="0" collapsed="false">
      <c r="A72" s="7" t="str">
        <f aca="false">Data!F69</f>
        <v>Conifer Upland</v>
      </c>
      <c r="B72" s="7" t="str">
        <f aca="false">Data!D69</f>
        <v>Late Successional</v>
      </c>
      <c r="C72" s="15" t="n">
        <f aca="false">Data!H69</f>
        <v>2404.223734</v>
      </c>
      <c r="D72" s="17" t="str">
        <f aca="false">IF(C72&lt;1000,"small",IF(C72&lt;50000,"medium","large"))</f>
        <v>medium</v>
      </c>
    </row>
    <row r="73" customFormat="false" ht="15" hidden="false" customHeight="false" outlineLevel="0" collapsed="false">
      <c r="A73" s="7" t="str">
        <f aca="false">Data!F70</f>
        <v>Mixedwood</v>
      </c>
      <c r="B73" s="7" t="str">
        <f aca="false">Data!D70</f>
        <v>Late Successional</v>
      </c>
      <c r="C73" s="15" t="n">
        <f aca="false">Data!H70</f>
        <v>9733.859004</v>
      </c>
      <c r="D73" s="17" t="str">
        <f aca="false">IF(C73&lt;1000,"small",IF(C73&lt;50000,"medium","large"))</f>
        <v>medium</v>
      </c>
    </row>
    <row r="74" customFormat="false" ht="15" hidden="false" customHeight="false" outlineLevel="0" collapsed="false">
      <c r="A74" s="7" t="str">
        <f aca="false">Data!F71</f>
        <v>Mixedwood</v>
      </c>
      <c r="B74" s="7" t="str">
        <f aca="false">Data!D71</f>
        <v>Late Successional</v>
      </c>
      <c r="C74" s="15" t="n">
        <f aca="false">Data!H71</f>
        <v>64950.51408</v>
      </c>
      <c r="D74" s="17" t="str">
        <f aca="false">IF(C74&lt;1000,"small",IF(C74&lt;50000,"medium","large"))</f>
        <v>large</v>
      </c>
    </row>
    <row r="75" customFormat="false" ht="15" hidden="false" customHeight="false" outlineLevel="0" collapsed="false">
      <c r="A75" s="7" t="str">
        <f aca="false">Data!F72</f>
        <v>Mixedwood</v>
      </c>
      <c r="B75" s="7" t="str">
        <f aca="false">Data!D72</f>
        <v>Late Successional</v>
      </c>
      <c r="C75" s="15" t="n">
        <f aca="false">Data!H72</f>
        <v>37756.38066</v>
      </c>
      <c r="D75" s="17" t="str">
        <f aca="false">IF(C75&lt;1000,"small",IF(C75&lt;50000,"medium","large"))</f>
        <v>medium</v>
      </c>
    </row>
    <row r="76" customFormat="false" ht="15" hidden="false" customHeight="false" outlineLevel="0" collapsed="false">
      <c r="A76" s="7" t="str">
        <f aca="false">Data!F73</f>
        <v>Mixedwood</v>
      </c>
      <c r="B76" s="7" t="str">
        <f aca="false">Data!D73</f>
        <v>Late Successional</v>
      </c>
      <c r="C76" s="15" t="n">
        <f aca="false">Data!H73</f>
        <v>21890.65322</v>
      </c>
      <c r="D76" s="17" t="str">
        <f aca="false">IF(C76&lt;1000,"small",IF(C76&lt;50000,"medium","large"))</f>
        <v>medium</v>
      </c>
    </row>
    <row r="77" customFormat="false" ht="15" hidden="false" customHeight="false" outlineLevel="0" collapsed="false">
      <c r="A77" s="7" t="str">
        <f aca="false">Data!F74</f>
        <v>Mixedwood</v>
      </c>
      <c r="B77" s="7" t="str">
        <f aca="false">Data!D74</f>
        <v>Late Successional</v>
      </c>
      <c r="C77" s="15" t="n">
        <f aca="false">Data!H74</f>
        <v>10898.15079</v>
      </c>
      <c r="D77" s="17" t="str">
        <f aca="false">IF(C77&lt;1000,"small",IF(C77&lt;50000,"medium","large"))</f>
        <v>medium</v>
      </c>
    </row>
    <row r="78" customFormat="false" ht="15" hidden="false" customHeight="false" outlineLevel="0" collapsed="false">
      <c r="A78" s="7" t="str">
        <f aca="false">Data!F75</f>
        <v>Mixedwood</v>
      </c>
      <c r="B78" s="7" t="str">
        <f aca="false">Data!D75</f>
        <v>Late Successional</v>
      </c>
      <c r="C78" s="15" t="n">
        <f aca="false">Data!H75</f>
        <v>3955.891582</v>
      </c>
      <c r="D78" s="17" t="str">
        <f aca="false">IF(C78&lt;1000,"small",IF(C78&lt;50000,"medium","large"))</f>
        <v>medium</v>
      </c>
    </row>
    <row r="79" customFormat="false" ht="15" hidden="false" customHeight="false" outlineLevel="0" collapsed="false">
      <c r="A79" s="7" t="str">
        <f aca="false">Data!F76</f>
        <v>Mixedwood</v>
      </c>
      <c r="B79" s="7" t="str">
        <f aca="false">Data!D76</f>
        <v>Late Successional</v>
      </c>
      <c r="C79" s="15" t="n">
        <f aca="false">Data!H76</f>
        <v>2280.251502</v>
      </c>
      <c r="D79" s="17" t="str">
        <f aca="false">IF(C79&lt;1000,"small",IF(C79&lt;50000,"medium","large"))</f>
        <v>medium</v>
      </c>
    </row>
    <row r="80" customFormat="false" ht="15" hidden="false" customHeight="false" outlineLevel="0" collapsed="false">
      <c r="A80" s="7" t="str">
        <f aca="false">Data!F77</f>
        <v>Mixedwood</v>
      </c>
      <c r="B80" s="7" t="str">
        <f aca="false">Data!D77</f>
        <v>Late Successional</v>
      </c>
      <c r="C80" s="15" t="n">
        <f aca="false">Data!H77</f>
        <v>1225.001066</v>
      </c>
      <c r="D80" s="17" t="str">
        <f aca="false">IF(C80&lt;1000,"small",IF(C80&lt;50000,"medium","large"))</f>
        <v>medium</v>
      </c>
    </row>
    <row r="81" customFormat="false" ht="15" hidden="false" customHeight="false" outlineLevel="0" collapsed="false">
      <c r="A81" s="7" t="str">
        <f aca="false">Data!F78</f>
        <v>Mixedwood</v>
      </c>
      <c r="B81" s="7" t="str">
        <f aca="false">Data!D78</f>
        <v>Late Successional</v>
      </c>
      <c r="C81" s="15" t="n">
        <f aca="false">Data!H78</f>
        <v>599.5510238</v>
      </c>
      <c r="D81" s="17" t="str">
        <f aca="false">IF(C81&lt;1000,"small",IF(C81&lt;50000,"medium","large"))</f>
        <v>small</v>
      </c>
    </row>
    <row r="82" customFormat="false" ht="15" hidden="false" customHeight="false" outlineLevel="0" collapsed="false">
      <c r="A82" s="7" t="str">
        <f aca="false">Data!F79</f>
        <v>Mixedwood</v>
      </c>
      <c r="B82" s="7" t="str">
        <f aca="false">Data!D79</f>
        <v>Late Successional</v>
      </c>
      <c r="C82" s="15" t="n">
        <f aca="false">Data!H79</f>
        <v>397.202563</v>
      </c>
      <c r="D82" s="17" t="str">
        <f aca="false">IF(C82&lt;1000,"small",IF(C82&lt;50000,"medium","large"))</f>
        <v>small</v>
      </c>
    </row>
    <row r="83" customFormat="false" ht="15" hidden="false" customHeight="false" outlineLevel="0" collapsed="false">
      <c r="A83" s="7" t="str">
        <f aca="false">Data!F80</f>
        <v>Jack Pine</v>
      </c>
      <c r="B83" s="7" t="str">
        <f aca="false">Data!D80</f>
        <v>Late Successional</v>
      </c>
      <c r="C83" s="15" t="n">
        <f aca="false">Data!H80</f>
        <v>596.4738723</v>
      </c>
      <c r="D83" s="17" t="str">
        <f aca="false">IF(C83&lt;1000,"small",IF(C83&lt;50000,"medium","large"))</f>
        <v>small</v>
      </c>
    </row>
    <row r="84" customFormat="false" ht="15" hidden="false" customHeight="false" outlineLevel="0" collapsed="false">
      <c r="A84" s="7" t="str">
        <f aca="false">Data!F81</f>
        <v>Jack Pine</v>
      </c>
      <c r="B84" s="7" t="str">
        <f aca="false">Data!D81</f>
        <v>Late Successional</v>
      </c>
      <c r="C84" s="15" t="n">
        <f aca="false">Data!H81</f>
        <v>4015.021795</v>
      </c>
      <c r="D84" s="17" t="str">
        <f aca="false">IF(C84&lt;1000,"small",IF(C84&lt;50000,"medium","large"))</f>
        <v>medium</v>
      </c>
    </row>
    <row r="85" customFormat="false" ht="15" hidden="false" customHeight="false" outlineLevel="0" collapsed="false">
      <c r="A85" s="7" t="str">
        <f aca="false">Data!F82</f>
        <v>Jack Pine</v>
      </c>
      <c r="B85" s="7" t="str">
        <f aca="false">Data!D82</f>
        <v>Late Successional</v>
      </c>
      <c r="C85" s="15" t="n">
        <f aca="false">Data!H82</f>
        <v>1134.814621</v>
      </c>
      <c r="D85" s="17" t="str">
        <f aca="false">IF(C85&lt;1000,"small",IF(C85&lt;50000,"medium","large"))</f>
        <v>medium</v>
      </c>
    </row>
    <row r="86" customFormat="false" ht="15" hidden="false" customHeight="false" outlineLevel="0" collapsed="false">
      <c r="A86" s="7" t="str">
        <f aca="false">Data!F83</f>
        <v>Jack Pine</v>
      </c>
      <c r="B86" s="7" t="str">
        <f aca="false">Data!D83</f>
        <v>Late Successional</v>
      </c>
      <c r="C86" s="15" t="n">
        <f aca="false">Data!H83</f>
        <v>680.7047982</v>
      </c>
      <c r="D86" s="17" t="str">
        <f aca="false">IF(C86&lt;1000,"small",IF(C86&lt;50000,"medium","large"))</f>
        <v>small</v>
      </c>
    </row>
    <row r="87" customFormat="false" ht="15" hidden="false" customHeight="false" outlineLevel="0" collapsed="false">
      <c r="A87" s="7" t="str">
        <f aca="false">Data!F84</f>
        <v>Jack Pine</v>
      </c>
      <c r="B87" s="7" t="str">
        <f aca="false">Data!D84</f>
        <v>Late Successional</v>
      </c>
      <c r="C87" s="15" t="n">
        <f aca="false">Data!H84</f>
        <v>295.7139473</v>
      </c>
      <c r="D87" s="17" t="str">
        <f aca="false">IF(C87&lt;1000,"small",IF(C87&lt;50000,"medium","large"))</f>
        <v>small</v>
      </c>
    </row>
    <row r="88" customFormat="false" ht="15" hidden="false" customHeight="false" outlineLevel="0" collapsed="false">
      <c r="A88" s="7" t="str">
        <f aca="false">Data!F85</f>
        <v>Jack Pine</v>
      </c>
      <c r="B88" s="7" t="str">
        <f aca="false">Data!D85</f>
        <v>Late Successional</v>
      </c>
      <c r="C88" s="15" t="n">
        <f aca="false">Data!H85</f>
        <v>98.02628106</v>
      </c>
      <c r="D88" s="17" t="str">
        <f aca="false">IF(C88&lt;1000,"small",IF(C88&lt;50000,"medium","large"))</f>
        <v>small</v>
      </c>
    </row>
    <row r="89" customFormat="false" ht="15" hidden="false" customHeight="false" outlineLevel="0" collapsed="false">
      <c r="A89" s="7" t="str">
        <f aca="false">Data!F86</f>
        <v>Jack Pine</v>
      </c>
      <c r="B89" s="7" t="str">
        <f aca="false">Data!D86</f>
        <v>Late Successional</v>
      </c>
      <c r="C89" s="15" t="n">
        <f aca="false">Data!H86</f>
        <v>3.720000029</v>
      </c>
      <c r="D89" s="17" t="str">
        <f aca="false">IF(C89&lt;1000,"small",IF(C89&lt;50000,"medium","large"))</f>
        <v>small</v>
      </c>
    </row>
    <row r="90" customFormat="false" ht="15" hidden="false" customHeight="false" outlineLevel="0" collapsed="false">
      <c r="A90" s="7" t="str">
        <f aca="false">Data!F87</f>
        <v>Jack Pine</v>
      </c>
      <c r="B90" s="7" t="str">
        <f aca="false">Data!D87</f>
        <v>Late Successional</v>
      </c>
      <c r="C90" s="15" t="n">
        <f aca="false">Data!H87</f>
        <v>8.180000305</v>
      </c>
      <c r="D90" s="17" t="str">
        <f aca="false">IF(C90&lt;1000,"small",IF(C90&lt;50000,"medium","large"))</f>
        <v>small</v>
      </c>
    </row>
    <row r="91" customFormat="false" ht="15" hidden="false" customHeight="false" outlineLevel="0" collapsed="false">
      <c r="A91" s="7" t="str">
        <f aca="false">Data!F88</f>
        <v>Poplar</v>
      </c>
      <c r="B91" s="7" t="str">
        <f aca="false">Data!D88</f>
        <v>Late Successional</v>
      </c>
      <c r="C91" s="15" t="n">
        <f aca="false">Data!H88</f>
        <v>12676.28685</v>
      </c>
      <c r="D91" s="17" t="str">
        <f aca="false">IF(C91&lt;1000,"small",IF(C91&lt;50000,"medium","large"))</f>
        <v>medium</v>
      </c>
    </row>
    <row r="92" customFormat="false" ht="15" hidden="false" customHeight="false" outlineLevel="0" collapsed="false">
      <c r="A92" s="7" t="str">
        <f aca="false">Data!F89</f>
        <v>Poplar</v>
      </c>
      <c r="B92" s="7" t="str">
        <f aca="false">Data!D89</f>
        <v>Late Successional</v>
      </c>
      <c r="C92" s="15" t="n">
        <f aca="false">Data!H89</f>
        <v>84041.28903</v>
      </c>
      <c r="D92" s="17" t="str">
        <f aca="false">IF(C92&lt;1000,"small",IF(C92&lt;50000,"medium","large"))</f>
        <v>large</v>
      </c>
    </row>
    <row r="93" customFormat="false" ht="15" hidden="false" customHeight="false" outlineLevel="0" collapsed="false">
      <c r="A93" s="7" t="str">
        <f aca="false">Data!F90</f>
        <v>Poplar</v>
      </c>
      <c r="B93" s="7" t="str">
        <f aca="false">Data!D90</f>
        <v>Late Successional</v>
      </c>
      <c r="C93" s="15" t="n">
        <f aca="false">Data!H90</f>
        <v>35057.81444</v>
      </c>
      <c r="D93" s="17" t="str">
        <f aca="false">IF(C93&lt;1000,"small",IF(C93&lt;50000,"medium","large"))</f>
        <v>medium</v>
      </c>
    </row>
    <row r="94" customFormat="false" ht="15" hidden="false" customHeight="false" outlineLevel="0" collapsed="false">
      <c r="A94" s="7" t="str">
        <f aca="false">Data!F91</f>
        <v>Poplar</v>
      </c>
      <c r="B94" s="7" t="str">
        <f aca="false">Data!D91</f>
        <v>Late Successional</v>
      </c>
      <c r="C94" s="15" t="n">
        <f aca="false">Data!H91</f>
        <v>17172.41763</v>
      </c>
      <c r="D94" s="17" t="str">
        <f aca="false">IF(C94&lt;1000,"small",IF(C94&lt;50000,"medium","large"))</f>
        <v>medium</v>
      </c>
    </row>
    <row r="95" customFormat="false" ht="15" hidden="false" customHeight="false" outlineLevel="0" collapsed="false">
      <c r="A95" s="7" t="str">
        <f aca="false">Data!F92</f>
        <v>Poplar</v>
      </c>
      <c r="B95" s="7" t="str">
        <f aca="false">Data!D92</f>
        <v>Late Successional</v>
      </c>
      <c r="C95" s="15" t="n">
        <f aca="false">Data!H92</f>
        <v>15989.12361</v>
      </c>
      <c r="D95" s="17" t="str">
        <f aca="false">IF(C95&lt;1000,"small",IF(C95&lt;50000,"medium","large"))</f>
        <v>medium</v>
      </c>
    </row>
    <row r="96" customFormat="false" ht="15" hidden="false" customHeight="false" outlineLevel="0" collapsed="false">
      <c r="A96" s="7" t="str">
        <f aca="false">Data!F93</f>
        <v>Poplar</v>
      </c>
      <c r="B96" s="7" t="str">
        <f aca="false">Data!D93</f>
        <v>Late Successional</v>
      </c>
      <c r="C96" s="15" t="n">
        <f aca="false">Data!H93</f>
        <v>2402.2577</v>
      </c>
      <c r="D96" s="17" t="str">
        <f aca="false">IF(C96&lt;1000,"small",IF(C96&lt;50000,"medium","large"))</f>
        <v>medium</v>
      </c>
    </row>
    <row r="97" customFormat="false" ht="15" hidden="false" customHeight="false" outlineLevel="0" collapsed="false">
      <c r="A97" s="7" t="str">
        <f aca="false">Data!F94</f>
        <v>Poplar</v>
      </c>
      <c r="B97" s="7" t="str">
        <f aca="false">Data!D94</f>
        <v>Late Successional</v>
      </c>
      <c r="C97" s="15" t="n">
        <f aca="false">Data!H94</f>
        <v>725.7684533</v>
      </c>
      <c r="D97" s="17" t="str">
        <f aca="false">IF(C97&lt;1000,"small",IF(C97&lt;50000,"medium","large"))</f>
        <v>small</v>
      </c>
    </row>
    <row r="98" customFormat="false" ht="15" hidden="false" customHeight="false" outlineLevel="0" collapsed="false">
      <c r="A98" s="7" t="str">
        <f aca="false">Data!F95</f>
        <v>Poplar</v>
      </c>
      <c r="B98" s="7" t="str">
        <f aca="false">Data!D95</f>
        <v>Late Successional</v>
      </c>
      <c r="C98" s="15" t="n">
        <f aca="false">Data!H95</f>
        <v>237.6135297</v>
      </c>
      <c r="D98" s="17" t="str">
        <f aca="false">IF(C98&lt;1000,"small",IF(C98&lt;50000,"medium","large"))</f>
        <v>small</v>
      </c>
    </row>
    <row r="99" customFormat="false" ht="15" hidden="false" customHeight="false" outlineLevel="0" collapsed="false">
      <c r="A99" s="7" t="str">
        <f aca="false">Data!F96</f>
        <v>Poplar</v>
      </c>
      <c r="B99" s="7" t="str">
        <f aca="false">Data!D96</f>
        <v>Late Successional</v>
      </c>
      <c r="C99" s="15" t="n">
        <f aca="false">Data!H96</f>
        <v>725.0812312</v>
      </c>
      <c r="D99" s="17" t="str">
        <f aca="false">IF(C99&lt;1000,"small",IF(C99&lt;50000,"medium","large"))</f>
        <v>small</v>
      </c>
    </row>
    <row r="100" customFormat="false" ht="15" hidden="false" customHeight="false" outlineLevel="0" collapsed="false">
      <c r="A100" s="7" t="str">
        <f aca="false">Data!F97</f>
        <v>Poplar</v>
      </c>
      <c r="B100" s="7" t="str">
        <f aca="false">Data!D97</f>
        <v>Late Successional</v>
      </c>
      <c r="C100" s="15" t="n">
        <f aca="false">Data!H97</f>
        <v>101.7100019</v>
      </c>
      <c r="D100" s="17" t="str">
        <f aca="false">IF(C100&lt;1000,"small",IF(C100&lt;50000,"medium","large"))</f>
        <v>small</v>
      </c>
    </row>
    <row r="101" customFormat="false" ht="15" hidden="false" customHeight="false" outlineLevel="0" collapsed="false">
      <c r="A101" s="7" t="str">
        <f aca="false">Data!F98</f>
        <v>Poplar</v>
      </c>
      <c r="B101" s="7" t="str">
        <f aca="false">Data!D98</f>
        <v>Late Successional</v>
      </c>
      <c r="C101" s="15" t="n">
        <f aca="false">Data!H98</f>
        <v>164.0600042</v>
      </c>
      <c r="D101" s="17" t="str">
        <f aca="false">IF(C101&lt;1000,"small",IF(C101&lt;50000,"medium","large"))</f>
        <v>small</v>
      </c>
    </row>
    <row r="102" customFormat="false" ht="15" hidden="false" customHeight="false" outlineLevel="0" collapsed="false">
      <c r="A102" s="7" t="str">
        <f aca="false">Data!F99</f>
        <v>Red and White Pine</v>
      </c>
      <c r="B102" s="7" t="str">
        <f aca="false">Data!D99</f>
        <v>Late Successional</v>
      </c>
      <c r="C102" s="15" t="n">
        <f aca="false">Data!H99</f>
        <v>670.3222226</v>
      </c>
      <c r="D102" s="17" t="str">
        <f aca="false">IF(C102&lt;1000,"small",IF(C102&lt;50000,"medium","large"))</f>
        <v>small</v>
      </c>
    </row>
    <row r="103" customFormat="false" ht="15" hidden="false" customHeight="false" outlineLevel="0" collapsed="false">
      <c r="A103" s="7" t="str">
        <f aca="false">Data!F100</f>
        <v>Red and White Pine</v>
      </c>
      <c r="B103" s="7" t="str">
        <f aca="false">Data!D100</f>
        <v>Late Successional</v>
      </c>
      <c r="C103" s="15" t="n">
        <f aca="false">Data!H100</f>
        <v>845.5080022</v>
      </c>
      <c r="D103" s="17" t="str">
        <f aca="false">IF(C103&lt;1000,"small",IF(C103&lt;50000,"medium","large"))</f>
        <v>small</v>
      </c>
    </row>
    <row r="104" customFormat="false" ht="15" hidden="false" customHeight="false" outlineLevel="0" collapsed="false">
      <c r="A104" s="7" t="str">
        <f aca="false">Data!F101</f>
        <v>Red and White Pine</v>
      </c>
      <c r="B104" s="7" t="str">
        <f aca="false">Data!D101</f>
        <v>Late Successional</v>
      </c>
      <c r="C104" s="15" t="n">
        <f aca="false">Data!H101</f>
        <v>239.7482615</v>
      </c>
      <c r="D104" s="17" t="str">
        <f aca="false">IF(C104&lt;1000,"small",IF(C104&lt;50000,"medium","large"))</f>
        <v>small</v>
      </c>
    </row>
    <row r="105" customFormat="false" ht="15" hidden="false" customHeight="false" outlineLevel="0" collapsed="false">
      <c r="A105" s="7" t="str">
        <f aca="false">Data!F102</f>
        <v>Red and White Pine</v>
      </c>
      <c r="B105" s="7" t="str">
        <f aca="false">Data!D102</f>
        <v>Late Successional</v>
      </c>
      <c r="C105" s="15" t="n">
        <f aca="false">Data!H102</f>
        <v>590.3698324</v>
      </c>
      <c r="D105" s="17" t="str">
        <f aca="false">IF(C105&lt;1000,"small",IF(C105&lt;50000,"medium","large"))</f>
        <v>small</v>
      </c>
    </row>
    <row r="106" customFormat="false" ht="15" hidden="false" customHeight="false" outlineLevel="0" collapsed="false">
      <c r="A106" s="7" t="str">
        <f aca="false">Data!F103</f>
        <v>Red and White Pine</v>
      </c>
      <c r="B106" s="7" t="str">
        <f aca="false">Data!D103</f>
        <v>Late Successional</v>
      </c>
      <c r="C106" s="15" t="n">
        <f aca="false">Data!H103</f>
        <v>46.78620388</v>
      </c>
      <c r="D106" s="17" t="str">
        <f aca="false">IF(C106&lt;1000,"small",IF(C106&lt;50000,"medium","large"))</f>
        <v>small</v>
      </c>
    </row>
    <row r="107" customFormat="false" ht="15" hidden="false" customHeight="false" outlineLevel="0" collapsed="false">
      <c r="A107" s="7" t="str">
        <f aca="false">Data!F104</f>
        <v>Red and White Pine</v>
      </c>
      <c r="B107" s="7" t="str">
        <f aca="false">Data!D104</f>
        <v>Late Successional</v>
      </c>
      <c r="C107" s="15" t="n">
        <f aca="false">Data!H104</f>
        <v>42.87393838</v>
      </c>
      <c r="D107" s="17" t="str">
        <f aca="false">IF(C107&lt;1000,"small",IF(C107&lt;50000,"medium","large"))</f>
        <v>small</v>
      </c>
    </row>
    <row r="108" customFormat="false" ht="15" hidden="false" customHeight="false" outlineLevel="0" collapsed="false">
      <c r="A108" s="7" t="str">
        <f aca="false">Data!F105</f>
        <v>Tolerant Hardwoods</v>
      </c>
      <c r="B108" s="7" t="str">
        <f aca="false">Data!D105</f>
        <v>Late Successional</v>
      </c>
      <c r="C108" s="15" t="n">
        <f aca="false">Data!H105</f>
        <v>26.90999985</v>
      </c>
      <c r="D108" s="17" t="str">
        <f aca="false">IF(C108&lt;1000,"small",IF(C108&lt;50000,"medium","large"))</f>
        <v>small</v>
      </c>
    </row>
    <row r="109" customFormat="false" ht="15" hidden="false" customHeight="false" outlineLevel="0" collapsed="false">
      <c r="A109" s="7" t="str">
        <f aca="false">Data!F106</f>
        <v>Tolerant Hardwoods</v>
      </c>
      <c r="B109" s="7" t="str">
        <f aca="false">Data!D106</f>
        <v>Late Successional</v>
      </c>
      <c r="C109" s="15" t="n">
        <f aca="false">Data!H106</f>
        <v>43.40609789</v>
      </c>
      <c r="D109" s="17" t="str">
        <f aca="false">IF(C109&lt;1000,"small",IF(C109&lt;50000,"medium","large"))</f>
        <v>small</v>
      </c>
    </row>
    <row r="110" customFormat="false" ht="15" hidden="false" customHeight="false" outlineLevel="0" collapsed="false">
      <c r="A110" s="7" t="str">
        <f aca="false">Data!F107</f>
        <v>Tolerant Hardwoods</v>
      </c>
      <c r="B110" s="7" t="str">
        <f aca="false">Data!D107</f>
        <v>Late Successional</v>
      </c>
      <c r="C110" s="15" t="n">
        <f aca="false">Data!H107</f>
        <v>42.24999857</v>
      </c>
      <c r="D110" s="17" t="str">
        <f aca="false">IF(C110&lt;1000,"small",IF(C110&lt;50000,"medium","large"))</f>
        <v>small</v>
      </c>
    </row>
    <row r="111" customFormat="false" ht="15" hidden="false" customHeight="false" outlineLevel="0" collapsed="false">
      <c r="A111" s="7" t="str">
        <f aca="false">Data!F108</f>
        <v>White Birch</v>
      </c>
      <c r="B111" s="7" t="str">
        <f aca="false">Data!D108</f>
        <v>Mature</v>
      </c>
      <c r="C111" s="15" t="n">
        <f aca="false">Data!H108</f>
        <v>3893.930389</v>
      </c>
      <c r="D111" s="17" t="str">
        <f aca="false">IF(C111&lt;1000,"small",IF(C111&lt;50000,"medium","large"))</f>
        <v>medium</v>
      </c>
    </row>
    <row r="112" customFormat="false" ht="15" hidden="false" customHeight="false" outlineLevel="0" collapsed="false">
      <c r="A112" s="7" t="str">
        <f aca="false">Data!F109</f>
        <v>White Birch</v>
      </c>
      <c r="B112" s="7" t="str">
        <f aca="false">Data!D109</f>
        <v>Mature</v>
      </c>
      <c r="C112" s="15" t="n">
        <f aca="false">Data!H109</f>
        <v>48207.30526</v>
      </c>
      <c r="D112" s="17" t="str">
        <f aca="false">IF(C112&lt;1000,"small",IF(C112&lt;50000,"medium","large"))</f>
        <v>medium</v>
      </c>
    </row>
    <row r="113" customFormat="false" ht="15" hidden="false" customHeight="false" outlineLevel="0" collapsed="false">
      <c r="A113" s="7" t="str">
        <f aca="false">Data!F110</f>
        <v>White Birch</v>
      </c>
      <c r="B113" s="7" t="str">
        <f aca="false">Data!D110</f>
        <v>Mature</v>
      </c>
      <c r="C113" s="15" t="n">
        <f aca="false">Data!H110</f>
        <v>110658.839</v>
      </c>
      <c r="D113" s="17" t="str">
        <f aca="false">IF(C113&lt;1000,"small",IF(C113&lt;50000,"medium","large"))</f>
        <v>large</v>
      </c>
    </row>
    <row r="114" customFormat="false" ht="15" hidden="false" customHeight="false" outlineLevel="0" collapsed="false">
      <c r="A114" s="7" t="str">
        <f aca="false">Data!F111</f>
        <v>White Birch</v>
      </c>
      <c r="B114" s="7" t="str">
        <f aca="false">Data!D111</f>
        <v>Mature</v>
      </c>
      <c r="C114" s="15" t="n">
        <f aca="false">Data!H111</f>
        <v>73665.96479</v>
      </c>
      <c r="D114" s="17" t="str">
        <f aca="false">IF(C114&lt;1000,"small",IF(C114&lt;50000,"medium","large"))</f>
        <v>large</v>
      </c>
    </row>
    <row r="115" customFormat="false" ht="15" hidden="false" customHeight="false" outlineLevel="0" collapsed="false">
      <c r="A115" s="7" t="str">
        <f aca="false">Data!F112</f>
        <v>White Birch</v>
      </c>
      <c r="B115" s="7" t="str">
        <f aca="false">Data!D112</f>
        <v>Mature</v>
      </c>
      <c r="C115" s="15" t="n">
        <f aca="false">Data!H112</f>
        <v>6092.577827</v>
      </c>
      <c r="D115" s="17" t="str">
        <f aca="false">IF(C115&lt;1000,"small",IF(C115&lt;50000,"medium","large"))</f>
        <v>medium</v>
      </c>
    </row>
    <row r="116" customFormat="false" ht="15" hidden="false" customHeight="false" outlineLevel="0" collapsed="false">
      <c r="A116" s="7" t="str">
        <f aca="false">Data!F113</f>
        <v>Conifer Lowland</v>
      </c>
      <c r="B116" s="7" t="str">
        <f aca="false">Data!D113</f>
        <v>Mature</v>
      </c>
      <c r="C116" s="15" t="n">
        <f aca="false">Data!H113</f>
        <v>17482.74952</v>
      </c>
      <c r="D116" s="17" t="str">
        <f aca="false">IF(C116&lt;1000,"small",IF(C116&lt;50000,"medium","large"))</f>
        <v>medium</v>
      </c>
    </row>
    <row r="117" customFormat="false" ht="15" hidden="false" customHeight="false" outlineLevel="0" collapsed="false">
      <c r="A117" s="7" t="str">
        <f aca="false">Data!F114</f>
        <v>Conifer Lowland</v>
      </c>
      <c r="B117" s="7" t="str">
        <f aca="false">Data!D114</f>
        <v>Mature</v>
      </c>
      <c r="C117" s="15" t="n">
        <f aca="false">Data!H114</f>
        <v>154230.1599</v>
      </c>
      <c r="D117" s="17" t="str">
        <f aca="false">IF(C117&lt;1000,"small",IF(C117&lt;50000,"medium","large"))</f>
        <v>large</v>
      </c>
    </row>
    <row r="118" customFormat="false" ht="15" hidden="false" customHeight="false" outlineLevel="0" collapsed="false">
      <c r="A118" s="7" t="str">
        <f aca="false">Data!F115</f>
        <v>Conifer Lowland</v>
      </c>
      <c r="B118" s="7" t="str">
        <f aca="false">Data!D115</f>
        <v>Mature</v>
      </c>
      <c r="C118" s="15" t="n">
        <f aca="false">Data!H115</f>
        <v>260109.7977</v>
      </c>
      <c r="D118" s="17" t="str">
        <f aca="false">IF(C118&lt;1000,"small",IF(C118&lt;50000,"medium","large"))</f>
        <v>large</v>
      </c>
    </row>
    <row r="119" customFormat="false" ht="15" hidden="false" customHeight="false" outlineLevel="0" collapsed="false">
      <c r="A119" s="7" t="str">
        <f aca="false">Data!F116</f>
        <v>Conifer Lowland</v>
      </c>
      <c r="B119" s="7" t="str">
        <f aca="false">Data!D116</f>
        <v>Mature</v>
      </c>
      <c r="C119" s="15" t="n">
        <f aca="false">Data!H116</f>
        <v>214939.6636</v>
      </c>
      <c r="D119" s="17" t="str">
        <f aca="false">IF(C119&lt;1000,"small",IF(C119&lt;50000,"medium","large"))</f>
        <v>large</v>
      </c>
    </row>
    <row r="120" customFormat="false" ht="15" hidden="false" customHeight="false" outlineLevel="0" collapsed="false">
      <c r="A120" s="7" t="str">
        <f aca="false">Data!F117</f>
        <v>Conifer Lowland</v>
      </c>
      <c r="B120" s="7" t="str">
        <f aca="false">Data!D117</f>
        <v>Mature</v>
      </c>
      <c r="C120" s="15" t="n">
        <f aca="false">Data!H117</f>
        <v>256247.0118</v>
      </c>
      <c r="D120" s="17" t="str">
        <f aca="false">IF(C120&lt;1000,"small",IF(C120&lt;50000,"medium","large"))</f>
        <v>large</v>
      </c>
    </row>
    <row r="121" customFormat="false" ht="15" hidden="false" customHeight="false" outlineLevel="0" collapsed="false">
      <c r="A121" s="7" t="str">
        <f aca="false">Data!F118</f>
        <v>Conifer Upland</v>
      </c>
      <c r="B121" s="7" t="str">
        <f aca="false">Data!D118</f>
        <v>Mature</v>
      </c>
      <c r="C121" s="15" t="n">
        <f aca="false">Data!H118</f>
        <v>2117.139118</v>
      </c>
      <c r="D121" s="17" t="str">
        <f aca="false">IF(C121&lt;1000,"small",IF(C121&lt;50000,"medium","large"))</f>
        <v>medium</v>
      </c>
    </row>
    <row r="122" customFormat="false" ht="15" hidden="false" customHeight="false" outlineLevel="0" collapsed="false">
      <c r="A122" s="7" t="str">
        <f aca="false">Data!F119</f>
        <v>Conifer Upland</v>
      </c>
      <c r="B122" s="7" t="str">
        <f aca="false">Data!D119</f>
        <v>Mature</v>
      </c>
      <c r="C122" s="15" t="n">
        <f aca="false">Data!H119</f>
        <v>53391.58835</v>
      </c>
      <c r="D122" s="17" t="str">
        <f aca="false">IF(C122&lt;1000,"small",IF(C122&lt;50000,"medium","large"))</f>
        <v>large</v>
      </c>
    </row>
    <row r="123" customFormat="false" ht="15" hidden="false" customHeight="false" outlineLevel="0" collapsed="false">
      <c r="A123" s="7" t="str">
        <f aca="false">Data!F120</f>
        <v>Conifer Upland</v>
      </c>
      <c r="B123" s="7" t="str">
        <f aca="false">Data!D120</f>
        <v>Mature</v>
      </c>
      <c r="C123" s="15" t="n">
        <f aca="false">Data!H120</f>
        <v>223397.5275</v>
      </c>
      <c r="D123" s="17" t="str">
        <f aca="false">IF(C123&lt;1000,"small",IF(C123&lt;50000,"medium","large"))</f>
        <v>large</v>
      </c>
    </row>
    <row r="124" customFormat="false" ht="15" hidden="false" customHeight="false" outlineLevel="0" collapsed="false">
      <c r="A124" s="7" t="str">
        <f aca="false">Data!F121</f>
        <v>Conifer Upland</v>
      </c>
      <c r="B124" s="7" t="str">
        <f aca="false">Data!D121</f>
        <v>Mature</v>
      </c>
      <c r="C124" s="15" t="n">
        <f aca="false">Data!H121</f>
        <v>283146.8698</v>
      </c>
      <c r="D124" s="17" t="str">
        <f aca="false">IF(C124&lt;1000,"small",IF(C124&lt;50000,"medium","large"))</f>
        <v>large</v>
      </c>
    </row>
    <row r="125" customFormat="false" ht="15" hidden="false" customHeight="false" outlineLevel="0" collapsed="false">
      <c r="A125" s="7" t="str">
        <f aca="false">Data!F122</f>
        <v>Conifer Upland</v>
      </c>
      <c r="B125" s="7" t="str">
        <f aca="false">Data!D122</f>
        <v>Mature</v>
      </c>
      <c r="C125" s="15" t="n">
        <f aca="false">Data!H122</f>
        <v>183890.7355</v>
      </c>
      <c r="D125" s="17" t="str">
        <f aca="false">IF(C125&lt;1000,"small",IF(C125&lt;50000,"medium","large"))</f>
        <v>large</v>
      </c>
    </row>
    <row r="126" customFormat="false" ht="15" hidden="false" customHeight="false" outlineLevel="0" collapsed="false">
      <c r="A126" s="7" t="str">
        <f aca="false">Data!F123</f>
        <v>Mixedwood</v>
      </c>
      <c r="B126" s="7" t="str">
        <f aca="false">Data!D123</f>
        <v>Mature</v>
      </c>
      <c r="C126" s="15" t="n">
        <f aca="false">Data!H123</f>
        <v>14584.17329</v>
      </c>
      <c r="D126" s="17" t="str">
        <f aca="false">IF(C126&lt;1000,"small",IF(C126&lt;50000,"medium","large"))</f>
        <v>medium</v>
      </c>
    </row>
    <row r="127" customFormat="false" ht="15" hidden="false" customHeight="false" outlineLevel="0" collapsed="false">
      <c r="A127" s="7" t="str">
        <f aca="false">Data!F124</f>
        <v>Mixedwood</v>
      </c>
      <c r="B127" s="7" t="str">
        <f aca="false">Data!D124</f>
        <v>Mature</v>
      </c>
      <c r="C127" s="15" t="n">
        <f aca="false">Data!H124</f>
        <v>181028.7488</v>
      </c>
      <c r="D127" s="17" t="str">
        <f aca="false">IF(C127&lt;1000,"small",IF(C127&lt;50000,"medium","large"))</f>
        <v>large</v>
      </c>
    </row>
    <row r="128" customFormat="false" ht="15" hidden="false" customHeight="false" outlineLevel="0" collapsed="false">
      <c r="A128" s="7" t="str">
        <f aca="false">Data!F125</f>
        <v>Mixedwood</v>
      </c>
      <c r="B128" s="7" t="str">
        <f aca="false">Data!D125</f>
        <v>Mature</v>
      </c>
      <c r="C128" s="15" t="n">
        <f aca="false">Data!H125</f>
        <v>148720.0183</v>
      </c>
      <c r="D128" s="17" t="str">
        <f aca="false">IF(C128&lt;1000,"small",IF(C128&lt;50000,"medium","large"))</f>
        <v>large</v>
      </c>
    </row>
    <row r="129" customFormat="false" ht="15" hidden="false" customHeight="false" outlineLevel="0" collapsed="false">
      <c r="A129" s="7" t="str">
        <f aca="false">Data!F126</f>
        <v>Mixedwood</v>
      </c>
      <c r="B129" s="7" t="str">
        <f aca="false">Data!D126</f>
        <v>Mature</v>
      </c>
      <c r="C129" s="15" t="n">
        <f aca="false">Data!H126</f>
        <v>127116.2404</v>
      </c>
      <c r="D129" s="17" t="str">
        <f aca="false">IF(C129&lt;1000,"small",IF(C129&lt;50000,"medium","large"))</f>
        <v>large</v>
      </c>
    </row>
    <row r="130" customFormat="false" ht="15" hidden="false" customHeight="false" outlineLevel="0" collapsed="false">
      <c r="A130" s="7" t="str">
        <f aca="false">Data!F127</f>
        <v>Jack Pine</v>
      </c>
      <c r="B130" s="7" t="str">
        <f aca="false">Data!D127</f>
        <v>Mature</v>
      </c>
      <c r="C130" s="15" t="n">
        <f aca="false">Data!H127</f>
        <v>2321.683978</v>
      </c>
      <c r="D130" s="17" t="str">
        <f aca="false">IF(C130&lt;1000,"small",IF(C130&lt;50000,"medium","large"))</f>
        <v>medium</v>
      </c>
    </row>
    <row r="131" customFormat="false" ht="15" hidden="false" customHeight="false" outlineLevel="0" collapsed="false">
      <c r="A131" s="7" t="str">
        <f aca="false">Data!F128</f>
        <v>Jack Pine</v>
      </c>
      <c r="B131" s="7" t="str">
        <f aca="false">Data!D128</f>
        <v>Mature</v>
      </c>
      <c r="C131" s="15" t="n">
        <f aca="false">Data!H128</f>
        <v>36739.20318</v>
      </c>
      <c r="D131" s="17" t="str">
        <f aca="false">IF(C131&lt;1000,"small",IF(C131&lt;50000,"medium","large"))</f>
        <v>medium</v>
      </c>
    </row>
    <row r="132" customFormat="false" ht="15" hidden="false" customHeight="false" outlineLevel="0" collapsed="false">
      <c r="A132" s="7" t="str">
        <f aca="false">Data!F129</f>
        <v>Jack Pine</v>
      </c>
      <c r="B132" s="7" t="str">
        <f aca="false">Data!D129</f>
        <v>Mature</v>
      </c>
      <c r="C132" s="15" t="n">
        <f aca="false">Data!H129</f>
        <v>19842.34193</v>
      </c>
      <c r="D132" s="17" t="str">
        <f aca="false">IF(C132&lt;1000,"small",IF(C132&lt;50000,"medium","large"))</f>
        <v>medium</v>
      </c>
    </row>
    <row r="133" customFormat="false" ht="15" hidden="false" customHeight="false" outlineLevel="0" collapsed="false">
      <c r="A133" s="7" t="str">
        <f aca="false">Data!F130</f>
        <v>Jack Pine</v>
      </c>
      <c r="B133" s="7" t="str">
        <f aca="false">Data!D130</f>
        <v>Mature</v>
      </c>
      <c r="C133" s="15" t="n">
        <f aca="false">Data!H130</f>
        <v>24494.14781</v>
      </c>
      <c r="D133" s="17" t="str">
        <f aca="false">IF(C133&lt;1000,"small",IF(C133&lt;50000,"medium","large"))</f>
        <v>medium</v>
      </c>
    </row>
    <row r="134" customFormat="false" ht="15" hidden="false" customHeight="false" outlineLevel="0" collapsed="false">
      <c r="A134" s="7" t="str">
        <f aca="false">Data!F131</f>
        <v>Jack Pine</v>
      </c>
      <c r="B134" s="7" t="str">
        <f aca="false">Data!D131</f>
        <v>Mature</v>
      </c>
      <c r="C134" s="15" t="n">
        <f aca="false">Data!H131</f>
        <v>9496.791397</v>
      </c>
      <c r="D134" s="17" t="str">
        <f aca="false">IF(C134&lt;1000,"small",IF(C134&lt;50000,"medium","large"))</f>
        <v>medium</v>
      </c>
    </row>
    <row r="135" customFormat="false" ht="15" hidden="false" customHeight="false" outlineLevel="0" collapsed="false">
      <c r="A135" s="7" t="str">
        <f aca="false">Data!F132</f>
        <v>Poplar</v>
      </c>
      <c r="B135" s="7" t="str">
        <f aca="false">Data!D132</f>
        <v>Mature</v>
      </c>
      <c r="C135" s="15" t="n">
        <f aca="false">Data!H132</f>
        <v>4152.517815</v>
      </c>
      <c r="D135" s="17" t="str">
        <f aca="false">IF(C135&lt;1000,"small",IF(C135&lt;50000,"medium","large"))</f>
        <v>medium</v>
      </c>
    </row>
    <row r="136" customFormat="false" ht="15" hidden="false" customHeight="false" outlineLevel="0" collapsed="false">
      <c r="A136" s="7" t="str">
        <f aca="false">Data!F133</f>
        <v>Poplar</v>
      </c>
      <c r="B136" s="7" t="str">
        <f aca="false">Data!D133</f>
        <v>Mature</v>
      </c>
      <c r="C136" s="15" t="n">
        <f aca="false">Data!H133</f>
        <v>53944.72347</v>
      </c>
      <c r="D136" s="17" t="str">
        <f aca="false">IF(C136&lt;1000,"small",IF(C136&lt;50000,"medium","large"))</f>
        <v>large</v>
      </c>
    </row>
    <row r="137" customFormat="false" ht="15" hidden="false" customHeight="false" outlineLevel="0" collapsed="false">
      <c r="A137" s="7" t="str">
        <f aca="false">Data!F134</f>
        <v>Poplar</v>
      </c>
      <c r="B137" s="7" t="str">
        <f aca="false">Data!D134</f>
        <v>Mature</v>
      </c>
      <c r="C137" s="15" t="n">
        <f aca="false">Data!H134</f>
        <v>84244.88579</v>
      </c>
      <c r="D137" s="17" t="str">
        <f aca="false">IF(C137&lt;1000,"small",IF(C137&lt;50000,"medium","large"))</f>
        <v>large</v>
      </c>
    </row>
    <row r="138" customFormat="false" ht="15" hidden="false" customHeight="false" outlineLevel="0" collapsed="false">
      <c r="A138" s="7" t="str">
        <f aca="false">Data!F135</f>
        <v>Poplar</v>
      </c>
      <c r="B138" s="7" t="str">
        <f aca="false">Data!D135</f>
        <v>Mature</v>
      </c>
      <c r="C138" s="15" t="n">
        <f aca="false">Data!H135</f>
        <v>70486.13497</v>
      </c>
      <c r="D138" s="17" t="str">
        <f aca="false">IF(C138&lt;1000,"small",IF(C138&lt;50000,"medium","large"))</f>
        <v>large</v>
      </c>
    </row>
    <row r="139" customFormat="false" ht="15" hidden="false" customHeight="false" outlineLevel="0" collapsed="false">
      <c r="A139" s="7" t="str">
        <f aca="false">Data!F136</f>
        <v>Poplar</v>
      </c>
      <c r="B139" s="7" t="str">
        <f aca="false">Data!D136</f>
        <v>Mature</v>
      </c>
      <c r="C139" s="15" t="n">
        <f aca="false">Data!H136</f>
        <v>6622.648587</v>
      </c>
      <c r="D139" s="17" t="str">
        <f aca="false">IF(C139&lt;1000,"small",IF(C139&lt;50000,"medium","large"))</f>
        <v>medium</v>
      </c>
    </row>
    <row r="140" customFormat="false" ht="15" hidden="false" customHeight="false" outlineLevel="0" collapsed="false">
      <c r="A140" s="7" t="str">
        <f aca="false">Data!F137</f>
        <v>Red and White Pine</v>
      </c>
      <c r="B140" s="7" t="str">
        <f aca="false">Data!D137</f>
        <v>Mature</v>
      </c>
      <c r="C140" s="15" t="n">
        <f aca="false">Data!H137</f>
        <v>180.9000058</v>
      </c>
      <c r="D140" s="17" t="str">
        <f aca="false">IF(C140&lt;1000,"small",IF(C140&lt;50000,"medium","large"))</f>
        <v>small</v>
      </c>
    </row>
    <row r="141" customFormat="false" ht="15" hidden="false" customHeight="false" outlineLevel="0" collapsed="false">
      <c r="A141" s="7" t="str">
        <f aca="false">Data!F138</f>
        <v>Red and White Pine</v>
      </c>
      <c r="B141" s="7" t="str">
        <f aca="false">Data!D138</f>
        <v>Mature</v>
      </c>
      <c r="C141" s="15" t="n">
        <f aca="false">Data!H138</f>
        <v>696.7850034</v>
      </c>
      <c r="D141" s="17" t="str">
        <f aca="false">IF(C141&lt;1000,"small",IF(C141&lt;50000,"medium","large"))</f>
        <v>small</v>
      </c>
    </row>
    <row r="142" customFormat="false" ht="15" hidden="false" customHeight="false" outlineLevel="0" collapsed="false">
      <c r="A142" s="7" t="str">
        <f aca="false">Data!F139</f>
        <v>Red and White Pine</v>
      </c>
      <c r="B142" s="7" t="str">
        <f aca="false">Data!D139</f>
        <v>Mature</v>
      </c>
      <c r="C142" s="15" t="n">
        <f aca="false">Data!H139</f>
        <v>1914.479901</v>
      </c>
      <c r="D142" s="17" t="str">
        <f aca="false">IF(C142&lt;1000,"small",IF(C142&lt;50000,"medium","large"))</f>
        <v>medium</v>
      </c>
    </row>
    <row r="143" customFormat="false" ht="15" hidden="false" customHeight="false" outlineLevel="0" collapsed="false">
      <c r="A143" s="7" t="str">
        <f aca="false">Data!F140</f>
        <v>Red and White Pine</v>
      </c>
      <c r="B143" s="7" t="str">
        <f aca="false">Data!D140</f>
        <v>Mature</v>
      </c>
      <c r="C143" s="15" t="n">
        <f aca="false">Data!H140</f>
        <v>451.0842633</v>
      </c>
      <c r="D143" s="17" t="str">
        <f aca="false">IF(C143&lt;1000,"small",IF(C143&lt;50000,"medium","large"))</f>
        <v>small</v>
      </c>
    </row>
    <row r="144" customFormat="false" ht="15" hidden="false" customHeight="false" outlineLevel="0" collapsed="false">
      <c r="A144" s="7" t="str">
        <f aca="false">Data!F141</f>
        <v>Red and White Pine</v>
      </c>
      <c r="B144" s="7" t="str">
        <f aca="false">Data!D141</f>
        <v>Mature</v>
      </c>
      <c r="C144" s="15" t="n">
        <f aca="false">Data!H141</f>
        <v>430.7050904</v>
      </c>
      <c r="D144" s="17" t="str">
        <f aca="false">IF(C144&lt;1000,"small",IF(C144&lt;50000,"medium","large"))</f>
        <v>small</v>
      </c>
    </row>
    <row r="145" customFormat="false" ht="15" hidden="false" customHeight="false" outlineLevel="0" collapsed="false">
      <c r="A145" s="7" t="str">
        <f aca="false">Data!F142</f>
        <v>Red and White Pine</v>
      </c>
      <c r="B145" s="7" t="str">
        <f aca="false">Data!D142</f>
        <v>Mature</v>
      </c>
      <c r="C145" s="15" t="n">
        <f aca="false">Data!H142</f>
        <v>351.8437634</v>
      </c>
      <c r="D145" s="17" t="str">
        <f aca="false">IF(C145&lt;1000,"small",IF(C145&lt;50000,"medium","large"))</f>
        <v>small</v>
      </c>
    </row>
    <row r="146" customFormat="false" ht="15" hidden="false" customHeight="false" outlineLevel="0" collapsed="false">
      <c r="A146" s="7" t="str">
        <f aca="false">Data!F143</f>
        <v>Tolerant Hardwoods</v>
      </c>
      <c r="B146" s="7" t="str">
        <f aca="false">Data!D143</f>
        <v>Mature</v>
      </c>
      <c r="C146" s="15" t="n">
        <f aca="false">Data!H143</f>
        <v>491.7500101</v>
      </c>
      <c r="D146" s="17" t="str">
        <f aca="false">IF(C146&lt;1000,"small",IF(C146&lt;50000,"medium","large"))</f>
        <v>small</v>
      </c>
    </row>
    <row r="147" customFormat="false" ht="15" hidden="false" customHeight="false" outlineLevel="0" collapsed="false">
      <c r="A147" s="7" t="str">
        <f aca="false">Data!F144</f>
        <v>Tolerant Hardwoods</v>
      </c>
      <c r="B147" s="7" t="str">
        <f aca="false">Data!D144</f>
        <v>Mature</v>
      </c>
      <c r="C147" s="15" t="n">
        <f aca="false">Data!H144</f>
        <v>274.4024415</v>
      </c>
      <c r="D147" s="17" t="str">
        <f aca="false">IF(C147&lt;1000,"small",IF(C147&lt;50000,"medium","large"))</f>
        <v>small</v>
      </c>
    </row>
    <row r="148" customFormat="false" ht="15" hidden="false" customHeight="false" outlineLevel="0" collapsed="false">
      <c r="A148" s="7" t="str">
        <f aca="false">Data!F145</f>
        <v>Tolerant Hardwoods</v>
      </c>
      <c r="B148" s="7" t="str">
        <f aca="false">Data!D145</f>
        <v>Mature</v>
      </c>
      <c r="C148" s="15" t="n">
        <f aca="false">Data!H145</f>
        <v>375.6790864</v>
      </c>
      <c r="D148" s="17" t="str">
        <f aca="false">IF(C148&lt;1000,"small",IF(C148&lt;50000,"medium","large"))</f>
        <v>small</v>
      </c>
    </row>
    <row r="149" customFormat="false" ht="15" hidden="false" customHeight="false" outlineLevel="0" collapsed="false">
      <c r="A149" s="7" t="str">
        <f aca="false">Data!F146</f>
        <v>White Birch</v>
      </c>
      <c r="B149" s="7" t="str">
        <f aca="false">Data!D146</f>
        <v>Pre-Sapling</v>
      </c>
      <c r="C149" s="15" t="n">
        <f aca="false">Data!H146</f>
        <v>31926.90788</v>
      </c>
      <c r="D149" s="17" t="str">
        <f aca="false">IF(C149&lt;1000,"small",IF(C149&lt;50000,"medium","large"))</f>
        <v>medium</v>
      </c>
    </row>
    <row r="150" customFormat="false" ht="15" hidden="false" customHeight="false" outlineLevel="0" collapsed="false">
      <c r="A150" s="7" t="str">
        <f aca="false">Data!F147</f>
        <v>Conifer Lowland</v>
      </c>
      <c r="B150" s="7" t="str">
        <f aca="false">Data!D147</f>
        <v>Pre-Sapling</v>
      </c>
      <c r="C150" s="15" t="n">
        <f aca="false">Data!H147</f>
        <v>134474.9514</v>
      </c>
      <c r="D150" s="17" t="str">
        <f aca="false">IF(C150&lt;1000,"small",IF(C150&lt;50000,"medium","large"))</f>
        <v>large</v>
      </c>
    </row>
    <row r="151" customFormat="false" ht="15" hidden="false" customHeight="false" outlineLevel="0" collapsed="false">
      <c r="A151" s="7" t="str">
        <f aca="false">Data!F148</f>
        <v>Conifer Lowland</v>
      </c>
      <c r="B151" s="7" t="str">
        <f aca="false">Data!D148</f>
        <v>Pre-Sapling</v>
      </c>
      <c r="C151" s="15" t="n">
        <f aca="false">Data!H148</f>
        <v>106283.9275</v>
      </c>
      <c r="D151" s="17" t="str">
        <f aca="false">IF(C151&lt;1000,"small",IF(C151&lt;50000,"medium","large"))</f>
        <v>large</v>
      </c>
    </row>
    <row r="152" customFormat="false" ht="15" hidden="false" customHeight="false" outlineLevel="0" collapsed="false">
      <c r="A152" s="7" t="str">
        <f aca="false">Data!F149</f>
        <v>Conifer Upland</v>
      </c>
      <c r="B152" s="7" t="str">
        <f aca="false">Data!D149</f>
        <v>Pre-Sapling</v>
      </c>
      <c r="C152" s="15" t="n">
        <f aca="false">Data!H149</f>
        <v>209735.4716</v>
      </c>
      <c r="D152" s="17" t="str">
        <f aca="false">IF(C152&lt;1000,"small",IF(C152&lt;50000,"medium","large"))</f>
        <v>large</v>
      </c>
    </row>
    <row r="153" customFormat="false" ht="15" hidden="false" customHeight="false" outlineLevel="0" collapsed="false">
      <c r="A153" s="7" t="str">
        <f aca="false">Data!F150</f>
        <v>Conifer Upland</v>
      </c>
      <c r="B153" s="7" t="str">
        <f aca="false">Data!D150</f>
        <v>Pre-Sapling</v>
      </c>
      <c r="C153" s="15" t="n">
        <f aca="false">Data!H150</f>
        <v>79517.33704</v>
      </c>
      <c r="D153" s="17" t="str">
        <f aca="false">IF(C153&lt;1000,"small",IF(C153&lt;50000,"medium","large"))</f>
        <v>large</v>
      </c>
    </row>
    <row r="154" customFormat="false" ht="15" hidden="false" customHeight="false" outlineLevel="0" collapsed="false">
      <c r="A154" s="7" t="str">
        <f aca="false">Data!F151</f>
        <v>Mixedwood</v>
      </c>
      <c r="B154" s="7" t="str">
        <f aca="false">Data!D151</f>
        <v>Pre-Sapling</v>
      </c>
      <c r="C154" s="15" t="n">
        <f aca="false">Data!H151</f>
        <v>79605.95774</v>
      </c>
      <c r="D154" s="17" t="str">
        <f aca="false">IF(C154&lt;1000,"small",IF(C154&lt;50000,"medium","large"))</f>
        <v>large</v>
      </c>
    </row>
    <row r="155" customFormat="false" ht="15" hidden="false" customHeight="false" outlineLevel="0" collapsed="false">
      <c r="A155" s="7" t="str">
        <f aca="false">Data!F152</f>
        <v>Jack Pine</v>
      </c>
      <c r="B155" s="7" t="str">
        <f aca="false">Data!D152</f>
        <v>Pre-Sapling</v>
      </c>
      <c r="C155" s="15" t="n">
        <f aca="false">Data!H152</f>
        <v>39071.80955</v>
      </c>
      <c r="D155" s="17" t="str">
        <f aca="false">IF(C155&lt;1000,"small",IF(C155&lt;50000,"medium","large"))</f>
        <v>medium</v>
      </c>
    </row>
    <row r="156" customFormat="false" ht="15" hidden="false" customHeight="false" outlineLevel="0" collapsed="false">
      <c r="A156" s="7" t="str">
        <f aca="false">Data!F153</f>
        <v>Poplar</v>
      </c>
      <c r="B156" s="7" t="str">
        <f aca="false">Data!D153</f>
        <v>Pre-Sapling</v>
      </c>
      <c r="C156" s="15" t="n">
        <f aca="false">Data!H153</f>
        <v>64765.72414</v>
      </c>
      <c r="D156" s="17" t="str">
        <f aca="false">IF(C156&lt;1000,"small",IF(C156&lt;50000,"medium","large"))</f>
        <v>large</v>
      </c>
    </row>
    <row r="157" customFormat="false" ht="15" hidden="false" customHeight="false" outlineLevel="0" collapsed="false">
      <c r="A157" s="7" t="str">
        <f aca="false">Data!F154</f>
        <v>Red and White Pine</v>
      </c>
      <c r="B157" s="7" t="str">
        <f aca="false">Data!D154</f>
        <v>Pre-Sapling</v>
      </c>
      <c r="C157" s="15" t="n">
        <f aca="false">Data!H154</f>
        <v>1748.504797</v>
      </c>
      <c r="D157" s="17" t="str">
        <f aca="false">IF(C157&lt;1000,"small",IF(C157&lt;50000,"medium","large"))</f>
        <v>medium</v>
      </c>
    </row>
    <row r="158" customFormat="false" ht="15" hidden="false" customHeight="false" outlineLevel="0" collapsed="false">
      <c r="A158" s="7" t="str">
        <f aca="false">Data!F155</f>
        <v>Red and White Pine</v>
      </c>
      <c r="B158" s="7" t="str">
        <f aca="false">Data!D155</f>
        <v>Pre-Sapling</v>
      </c>
      <c r="C158" s="15" t="n">
        <f aca="false">Data!H155</f>
        <v>1037.546958</v>
      </c>
      <c r="D158" s="17" t="str">
        <f aca="false">IF(C158&lt;1000,"small",IF(C158&lt;50000,"medium","large"))</f>
        <v>medium</v>
      </c>
    </row>
    <row r="159" customFormat="false" ht="15" hidden="false" customHeight="false" outlineLevel="0" collapsed="false">
      <c r="A159" s="7" t="str">
        <f aca="false">Data!F156</f>
        <v>Tolerant Hardwoods</v>
      </c>
      <c r="B159" s="7" t="str">
        <f aca="false">Data!D156</f>
        <v>Pre-Sapling</v>
      </c>
      <c r="C159" s="15" t="n">
        <f aca="false">Data!H156</f>
        <v>81.74359438</v>
      </c>
      <c r="D159" s="17" t="str">
        <f aca="false">IF(C159&lt;1000,"small",IF(C159&lt;50000,"medium","large"))</f>
        <v>small</v>
      </c>
    </row>
    <row r="160" customFormat="false" ht="15" hidden="false" customHeight="false" outlineLevel="0" collapsed="false">
      <c r="A160" s="7" t="str">
        <f aca="false">Data!F157</f>
        <v>White Birch</v>
      </c>
      <c r="B160" s="7" t="str">
        <f aca="false">Data!D157</f>
        <v>Sapling</v>
      </c>
      <c r="C160" s="15" t="n">
        <f aca="false">Data!H157</f>
        <v>1892.396596</v>
      </c>
      <c r="D160" s="17" t="str">
        <f aca="false">IF(C160&lt;1000,"small",IF(C160&lt;50000,"medium","large"))</f>
        <v>medium</v>
      </c>
    </row>
    <row r="161" customFormat="false" ht="15" hidden="false" customHeight="false" outlineLevel="0" collapsed="false">
      <c r="A161" s="7" t="str">
        <f aca="false">Data!F158</f>
        <v>White Birch</v>
      </c>
      <c r="B161" s="7" t="str">
        <f aca="false">Data!D158</f>
        <v>Sapling</v>
      </c>
      <c r="C161" s="15" t="n">
        <f aca="false">Data!H158</f>
        <v>16515.94275</v>
      </c>
      <c r="D161" s="17" t="str">
        <f aca="false">IF(C161&lt;1000,"small",IF(C161&lt;50000,"medium","large"))</f>
        <v>medium</v>
      </c>
    </row>
    <row r="162" customFormat="false" ht="15" hidden="false" customHeight="false" outlineLevel="0" collapsed="false">
      <c r="A162" s="7" t="str">
        <f aca="false">Data!F159</f>
        <v>White Birch</v>
      </c>
      <c r="B162" s="7" t="str">
        <f aca="false">Data!D159</f>
        <v>Sapling</v>
      </c>
      <c r="C162" s="15" t="n">
        <f aca="false">Data!H159</f>
        <v>19393.93141</v>
      </c>
      <c r="D162" s="17" t="str">
        <f aca="false">IF(C162&lt;1000,"small",IF(C162&lt;50000,"medium","large"))</f>
        <v>medium</v>
      </c>
    </row>
    <row r="163" customFormat="false" ht="15" hidden="false" customHeight="false" outlineLevel="0" collapsed="false">
      <c r="A163" s="7" t="str">
        <f aca="false">Data!F160</f>
        <v>Conifer Lowland</v>
      </c>
      <c r="B163" s="7" t="str">
        <f aca="false">Data!D160</f>
        <v>Sapling</v>
      </c>
      <c r="C163" s="15" t="n">
        <f aca="false">Data!H160</f>
        <v>8451.303231</v>
      </c>
      <c r="D163" s="17" t="str">
        <f aca="false">IF(C163&lt;1000,"small",IF(C163&lt;50000,"medium","large"))</f>
        <v>medium</v>
      </c>
    </row>
    <row r="164" customFormat="false" ht="15" hidden="false" customHeight="false" outlineLevel="0" collapsed="false">
      <c r="A164" s="7" t="str">
        <f aca="false">Data!F161</f>
        <v>Conifer Lowland</v>
      </c>
      <c r="B164" s="7" t="str">
        <f aca="false">Data!D161</f>
        <v>Sapling</v>
      </c>
      <c r="C164" s="15" t="n">
        <f aca="false">Data!H161</f>
        <v>120525.2289</v>
      </c>
      <c r="D164" s="17" t="str">
        <f aca="false">IF(C164&lt;1000,"small",IF(C164&lt;50000,"medium","large"))</f>
        <v>large</v>
      </c>
    </row>
    <row r="165" customFormat="false" ht="15" hidden="false" customHeight="false" outlineLevel="0" collapsed="false">
      <c r="A165" s="7" t="str">
        <f aca="false">Data!F162</f>
        <v>Conifer Lowland</v>
      </c>
      <c r="B165" s="7" t="str">
        <f aca="false">Data!D162</f>
        <v>Sapling</v>
      </c>
      <c r="C165" s="15" t="n">
        <f aca="false">Data!H162</f>
        <v>100764.9138</v>
      </c>
      <c r="D165" s="17" t="str">
        <f aca="false">IF(C165&lt;1000,"small",IF(C165&lt;50000,"medium","large"))</f>
        <v>large</v>
      </c>
    </row>
    <row r="166" customFormat="false" ht="15" hidden="false" customHeight="false" outlineLevel="0" collapsed="false">
      <c r="A166" s="7" t="str">
        <f aca="false">Data!F163</f>
        <v>Conifer Upland</v>
      </c>
      <c r="B166" s="7" t="str">
        <f aca="false">Data!D163</f>
        <v>Sapling</v>
      </c>
      <c r="C166" s="15" t="n">
        <f aca="false">Data!H163</f>
        <v>2249.124764</v>
      </c>
      <c r="D166" s="17" t="str">
        <f aca="false">IF(C166&lt;1000,"small",IF(C166&lt;50000,"medium","large"))</f>
        <v>medium</v>
      </c>
    </row>
    <row r="167" customFormat="false" ht="15" hidden="false" customHeight="false" outlineLevel="0" collapsed="false">
      <c r="A167" s="7" t="str">
        <f aca="false">Data!F164</f>
        <v>Conifer Upland</v>
      </c>
      <c r="B167" s="7" t="str">
        <f aca="false">Data!D164</f>
        <v>Sapling</v>
      </c>
      <c r="C167" s="15" t="n">
        <f aca="false">Data!H164</f>
        <v>188364.6928</v>
      </c>
      <c r="D167" s="17" t="str">
        <f aca="false">IF(C167&lt;1000,"small",IF(C167&lt;50000,"medium","large"))</f>
        <v>large</v>
      </c>
    </row>
    <row r="168" customFormat="false" ht="15" hidden="false" customHeight="false" outlineLevel="0" collapsed="false">
      <c r="A168" s="7" t="str">
        <f aca="false">Data!F165</f>
        <v>Conifer Upland</v>
      </c>
      <c r="B168" s="7" t="str">
        <f aca="false">Data!D165</f>
        <v>Sapling</v>
      </c>
      <c r="C168" s="15" t="n">
        <f aca="false">Data!H165</f>
        <v>320677.8524</v>
      </c>
      <c r="D168" s="17" t="str">
        <f aca="false">IF(C168&lt;1000,"small",IF(C168&lt;50000,"medium","large"))</f>
        <v>large</v>
      </c>
    </row>
    <row r="169" customFormat="false" ht="15" hidden="false" customHeight="false" outlineLevel="0" collapsed="false">
      <c r="A169" s="7" t="str">
        <f aca="false">Data!F166</f>
        <v>Conifer Upland</v>
      </c>
      <c r="B169" s="7" t="str">
        <f aca="false">Data!D166</f>
        <v>Sapling</v>
      </c>
      <c r="C169" s="15" t="n">
        <f aca="false">Data!H166</f>
        <v>189245.0984</v>
      </c>
      <c r="D169" s="17" t="str">
        <f aca="false">IF(C169&lt;1000,"small",IF(C169&lt;50000,"medium","large"))</f>
        <v>large</v>
      </c>
    </row>
    <row r="170" customFormat="false" ht="15" hidden="false" customHeight="false" outlineLevel="0" collapsed="false">
      <c r="A170" s="7" t="str">
        <f aca="false">Data!F167</f>
        <v>Mixedwood</v>
      </c>
      <c r="B170" s="7" t="str">
        <f aca="false">Data!D167</f>
        <v>Sapling</v>
      </c>
      <c r="C170" s="15" t="n">
        <f aca="false">Data!H167</f>
        <v>4846.850017</v>
      </c>
      <c r="D170" s="17" t="str">
        <f aca="false">IF(C170&lt;1000,"small",IF(C170&lt;50000,"medium","large"))</f>
        <v>medium</v>
      </c>
    </row>
    <row r="171" customFormat="false" ht="15" hidden="false" customHeight="false" outlineLevel="0" collapsed="false">
      <c r="A171" s="7" t="str">
        <f aca="false">Data!F168</f>
        <v>Mixedwood</v>
      </c>
      <c r="B171" s="7" t="str">
        <f aca="false">Data!D168</f>
        <v>Sapling</v>
      </c>
      <c r="C171" s="15" t="n">
        <f aca="false">Data!H168</f>
        <v>50586.89107</v>
      </c>
      <c r="D171" s="17" t="str">
        <f aca="false">IF(C171&lt;1000,"small",IF(C171&lt;50000,"medium","large"))</f>
        <v>large</v>
      </c>
    </row>
    <row r="172" customFormat="false" ht="15" hidden="false" customHeight="false" outlineLevel="0" collapsed="false">
      <c r="A172" s="7" t="str">
        <f aca="false">Data!F169</f>
        <v>Mixedwood</v>
      </c>
      <c r="B172" s="7" t="str">
        <f aca="false">Data!D169</f>
        <v>Sapling</v>
      </c>
      <c r="C172" s="15" t="n">
        <f aca="false">Data!H169</f>
        <v>90015.4281</v>
      </c>
      <c r="D172" s="17" t="str">
        <f aca="false">IF(C172&lt;1000,"small",IF(C172&lt;50000,"medium","large"))</f>
        <v>large</v>
      </c>
    </row>
    <row r="173" customFormat="false" ht="15" hidden="false" customHeight="false" outlineLevel="0" collapsed="false">
      <c r="A173" s="7" t="str">
        <f aca="false">Data!F170</f>
        <v>Jack Pine</v>
      </c>
      <c r="B173" s="7" t="str">
        <f aca="false">Data!D170</f>
        <v>Sapling</v>
      </c>
      <c r="C173" s="15" t="n">
        <f aca="false">Data!H170</f>
        <v>3845.734211</v>
      </c>
      <c r="D173" s="17" t="str">
        <f aca="false">IF(C173&lt;1000,"small",IF(C173&lt;50000,"medium","large"))</f>
        <v>medium</v>
      </c>
    </row>
    <row r="174" customFormat="false" ht="15" hidden="false" customHeight="false" outlineLevel="0" collapsed="false">
      <c r="A174" s="7" t="str">
        <f aca="false">Data!F171</f>
        <v>Jack Pine</v>
      </c>
      <c r="B174" s="7" t="str">
        <f aca="false">Data!D171</f>
        <v>Sapling</v>
      </c>
      <c r="C174" s="15" t="n">
        <f aca="false">Data!H171</f>
        <v>72486.10776</v>
      </c>
      <c r="D174" s="17" t="str">
        <f aca="false">IF(C174&lt;1000,"small",IF(C174&lt;50000,"medium","large"))</f>
        <v>large</v>
      </c>
    </row>
    <row r="175" customFormat="false" ht="15" hidden="false" customHeight="false" outlineLevel="0" collapsed="false">
      <c r="A175" s="7" t="str">
        <f aca="false">Data!F172</f>
        <v>Jack Pine</v>
      </c>
      <c r="B175" s="7" t="str">
        <f aca="false">Data!D172</f>
        <v>Sapling</v>
      </c>
      <c r="C175" s="15" t="n">
        <f aca="false">Data!H172</f>
        <v>80014.21406</v>
      </c>
      <c r="D175" s="17" t="str">
        <f aca="false">IF(C175&lt;1000,"small",IF(C175&lt;50000,"medium","large"))</f>
        <v>large</v>
      </c>
    </row>
    <row r="176" customFormat="false" ht="15" hidden="false" customHeight="false" outlineLevel="0" collapsed="false">
      <c r="A176" s="7" t="str">
        <f aca="false">Data!F173</f>
        <v>Poplar</v>
      </c>
      <c r="B176" s="7" t="str">
        <f aca="false">Data!D173</f>
        <v>Sapling</v>
      </c>
      <c r="C176" s="15" t="n">
        <f aca="false">Data!H173</f>
        <v>5981.243812</v>
      </c>
      <c r="D176" s="17" t="str">
        <f aca="false">IF(C176&lt;1000,"small",IF(C176&lt;50000,"medium","large"))</f>
        <v>medium</v>
      </c>
    </row>
    <row r="177" customFormat="false" ht="15" hidden="false" customHeight="false" outlineLevel="0" collapsed="false">
      <c r="A177" s="7" t="str">
        <f aca="false">Data!F174</f>
        <v>Poplar</v>
      </c>
      <c r="B177" s="7" t="str">
        <f aca="false">Data!D174</f>
        <v>Sapling</v>
      </c>
      <c r="C177" s="15" t="n">
        <f aca="false">Data!H174</f>
        <v>96280.87483</v>
      </c>
      <c r="D177" s="17" t="str">
        <f aca="false">IF(C177&lt;1000,"small",IF(C177&lt;50000,"medium","large"))</f>
        <v>large</v>
      </c>
    </row>
    <row r="178" customFormat="false" ht="15" hidden="false" customHeight="false" outlineLevel="0" collapsed="false">
      <c r="A178" s="7" t="str">
        <f aca="false">Data!F175</f>
        <v>Poplar</v>
      </c>
      <c r="B178" s="7" t="str">
        <f aca="false">Data!D175</f>
        <v>Sapling</v>
      </c>
      <c r="C178" s="15" t="n">
        <f aca="false">Data!H175</f>
        <v>93559.98764</v>
      </c>
      <c r="D178" s="17" t="str">
        <f aca="false">IF(C178&lt;1000,"small",IF(C178&lt;50000,"medium","large"))</f>
        <v>large</v>
      </c>
    </row>
    <row r="179" customFormat="false" ht="15" hidden="false" customHeight="false" outlineLevel="0" collapsed="false">
      <c r="A179" s="7" t="str">
        <f aca="false">Data!F176</f>
        <v>Red and White Pine</v>
      </c>
      <c r="B179" s="7" t="str">
        <f aca="false">Data!D176</f>
        <v>Sapling</v>
      </c>
      <c r="C179" s="15" t="n">
        <f aca="false">Data!H176</f>
        <v>1144.577203</v>
      </c>
      <c r="D179" s="17" t="str">
        <f aca="false">IF(C179&lt;1000,"small",IF(C179&lt;50000,"medium","large"))</f>
        <v>medium</v>
      </c>
    </row>
    <row r="180" customFormat="false" ht="15" hidden="false" customHeight="false" outlineLevel="0" collapsed="false">
      <c r="A180" s="7" t="str">
        <f aca="false">Data!F177</f>
        <v>Red and White Pine</v>
      </c>
      <c r="B180" s="7" t="str">
        <f aca="false">Data!D177</f>
        <v>Sapling</v>
      </c>
      <c r="C180" s="15" t="n">
        <f aca="false">Data!H177</f>
        <v>747.1054938</v>
      </c>
      <c r="D180" s="17" t="str">
        <f aca="false">IF(C180&lt;1000,"small",IF(C180&lt;50000,"medium","large"))</f>
        <v>small</v>
      </c>
    </row>
    <row r="181" customFormat="false" ht="15" hidden="false" customHeight="false" outlineLevel="0" collapsed="false">
      <c r="A181" s="7" t="str">
        <f aca="false">Data!F178</f>
        <v>Red and White Pine</v>
      </c>
      <c r="B181" s="7" t="str">
        <f aca="false">Data!D178</f>
        <v>Sapling</v>
      </c>
      <c r="C181" s="15" t="n">
        <f aca="false">Data!H178</f>
        <v>288.1199988</v>
      </c>
      <c r="D181" s="17" t="str">
        <f aca="false">IF(C181&lt;1000,"small",IF(C181&lt;50000,"medium","large"))</f>
        <v>small</v>
      </c>
    </row>
    <row r="182" customFormat="false" ht="15" hidden="false" customHeight="false" outlineLevel="0" collapsed="false">
      <c r="A182" s="7" t="str">
        <f aca="false">Data!F179</f>
        <v>Tolerant Hardwoods</v>
      </c>
      <c r="B182" s="7" t="str">
        <f aca="false">Data!D179</f>
        <v>Sapling</v>
      </c>
      <c r="C182" s="15" t="n">
        <f aca="false">Data!H179</f>
        <v>16.74999976</v>
      </c>
      <c r="D182" s="17" t="str">
        <f aca="false">IF(C182&lt;1000,"small",IF(C182&lt;50000,"medium","large"))</f>
        <v>small</v>
      </c>
    </row>
    <row r="183" customFormat="false" ht="15" hidden="false" customHeight="false" outlineLevel="0" collapsed="false">
      <c r="A183" s="7" t="str">
        <f aca="false">Data!F180</f>
        <v>Tolerant Hardwoods</v>
      </c>
      <c r="B183" s="7" t="str">
        <f aca="false">Data!D180</f>
        <v>Sapling</v>
      </c>
      <c r="C183" s="15" t="n">
        <f aca="false">Data!H180</f>
        <v>3.74000001</v>
      </c>
      <c r="D183" s="17" t="str">
        <f aca="false">IF(C183&lt;1000,"small",IF(C183&lt;50000,"medium","large"))</f>
        <v>small</v>
      </c>
    </row>
    <row r="185" customFormat="false" ht="15" hidden="false" customHeight="false" outlineLevel="0" collapsed="false">
      <c r="A185" s="18" t="s">
        <v>131</v>
      </c>
      <c r="B185" s="19" t="n">
        <f aca="false">COUNTIF(D5:D183, "small")</f>
        <v>50</v>
      </c>
    </row>
    <row r="186" customFormat="false" ht="15" hidden="false" customHeight="false" outlineLevel="0" collapsed="false">
      <c r="A186" s="18" t="s">
        <v>132</v>
      </c>
      <c r="B186" s="19" t="n">
        <f aca="false">COUNTIF(D5:D183, "medium")</f>
        <v>69</v>
      </c>
    </row>
    <row r="187" customFormat="false" ht="15" hidden="false" customHeight="false" outlineLevel="0" collapsed="false">
      <c r="A187" s="18" t="s">
        <v>133</v>
      </c>
      <c r="B187" s="19" t="n">
        <f aca="false">COUNTIF(D5:D183, "large")</f>
        <v>60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8"/>
    <col collapsed="false" customWidth="true" hidden="false" outlineLevel="0" max="3" min="3" style="0" width="6"/>
    <col collapsed="false" customWidth="true" hidden="false" outlineLevel="0" max="4" min="4" style="0" width="14"/>
    <col collapsed="false" customWidth="true" hidden="false" outlineLevel="0" max="5" min="5" style="0" width="30"/>
  </cols>
  <sheetData>
    <row r="1" customFormat="false" ht="17.35" hidden="false" customHeight="false" outlineLevel="0" collapsed="false">
      <c r="A1" s="1" t="s">
        <v>134</v>
      </c>
      <c r="B1" s="1"/>
      <c r="C1" s="1"/>
      <c r="D1" s="1"/>
      <c r="E1" s="1"/>
    </row>
    <row r="2" customFormat="false" ht="15" hidden="false" customHeight="false" outlineLevel="0" collapsed="false">
      <c r="A2" s="2"/>
      <c r="B2" s="2"/>
      <c r="C2" s="2"/>
      <c r="D2" s="2"/>
      <c r="E2" s="2"/>
    </row>
    <row r="4" customFormat="false" ht="28.35" hidden="false" customHeight="false" outlineLevel="0" collapsed="false">
      <c r="A4" s="5" t="s">
        <v>135</v>
      </c>
      <c r="B4" s="5" t="s">
        <v>53</v>
      </c>
      <c r="C4" s="20"/>
      <c r="D4" s="5" t="s">
        <v>136</v>
      </c>
      <c r="E4" s="5" t="s">
        <v>137</v>
      </c>
    </row>
    <row r="5" customFormat="false" ht="15" hidden="false" customHeight="false" outlineLevel="0" collapsed="false">
      <c r="A5" s="6" t="s">
        <v>77</v>
      </c>
      <c r="B5" s="7" t="s">
        <v>78</v>
      </c>
      <c r="D5" s="7" t="str">
        <f aca="false">Data!E2</f>
        <v>BWT</v>
      </c>
      <c r="E5" s="7" t="str">
        <f aca="false">IFERROR(VLOOKUP(D5, $A$5:$B$12, 2, FALSE()), "unknown")</f>
        <v>White Birch</v>
      </c>
    </row>
    <row r="6" customFormat="false" ht="15" hidden="false" customHeight="false" outlineLevel="0" collapsed="false">
      <c r="A6" s="6" t="s">
        <v>73</v>
      </c>
      <c r="B6" s="7" t="s">
        <v>74</v>
      </c>
      <c r="D6" s="7" t="str">
        <f aca="false">Data!E3</f>
        <v>BWT</v>
      </c>
      <c r="E6" s="7" t="str">
        <f aca="false">IFERROR(VLOOKUP(D6, $A$5:$B$12, 2, FALSE()), "unknown")</f>
        <v>White Birch</v>
      </c>
    </row>
    <row r="7" customFormat="false" ht="15" hidden="false" customHeight="false" outlineLevel="0" collapsed="false">
      <c r="A7" s="6" t="s">
        <v>71</v>
      </c>
      <c r="B7" s="7" t="s">
        <v>72</v>
      </c>
      <c r="D7" s="7" t="str">
        <f aca="false">Data!E4</f>
        <v>BWT</v>
      </c>
      <c r="E7" s="7" t="str">
        <f aca="false">IFERROR(VLOOKUP(D7, $A$5:$B$12, 2, FALSE()), "unknown")</f>
        <v>White Birch</v>
      </c>
    </row>
    <row r="8" customFormat="false" ht="15" hidden="false" customHeight="false" outlineLevel="0" collapsed="false">
      <c r="A8" s="6" t="s">
        <v>75</v>
      </c>
      <c r="B8" s="7" t="s">
        <v>76</v>
      </c>
      <c r="D8" s="7" t="str">
        <f aca="false">Data!E5</f>
        <v>BWT</v>
      </c>
      <c r="E8" s="7" t="str">
        <f aca="false">IFERROR(VLOOKUP(D8, $A$5:$B$12, 2, FALSE()), "unknown")</f>
        <v>White Birch</v>
      </c>
    </row>
    <row r="9" customFormat="false" ht="15" hidden="false" customHeight="false" outlineLevel="0" collapsed="false">
      <c r="A9" s="6" t="s">
        <v>79</v>
      </c>
      <c r="B9" s="7" t="s">
        <v>80</v>
      </c>
      <c r="D9" s="7" t="str">
        <f aca="false">Data!E6</f>
        <v>BWT</v>
      </c>
      <c r="E9" s="7" t="str">
        <f aca="false">IFERROR(VLOOKUP(D9, $A$5:$B$12, 2, FALSE()), "unknown")</f>
        <v>White Birch</v>
      </c>
    </row>
    <row r="10" customFormat="false" ht="15" hidden="false" customHeight="false" outlineLevel="0" collapsed="false">
      <c r="A10" s="6" t="s">
        <v>69</v>
      </c>
      <c r="B10" s="7" t="s">
        <v>70</v>
      </c>
      <c r="D10" s="7" t="str">
        <f aca="false">Data!E7</f>
        <v>MCL</v>
      </c>
      <c r="E10" s="7" t="str">
        <f aca="false">IFERROR(VLOOKUP(D10, $A$5:$B$12, 2, FALSE()), "unknown")</f>
        <v>Conifer Lowland</v>
      </c>
    </row>
    <row r="11" customFormat="false" ht="15" hidden="false" customHeight="false" outlineLevel="0" collapsed="false">
      <c r="A11" s="6" t="s">
        <v>81</v>
      </c>
      <c r="B11" s="7" t="s">
        <v>82</v>
      </c>
      <c r="D11" s="7" t="str">
        <f aca="false">Data!E8</f>
        <v>MCL</v>
      </c>
      <c r="E11" s="7" t="str">
        <f aca="false">IFERROR(VLOOKUP(D11, $A$5:$B$12, 2, FALSE()), "unknown")</f>
        <v>Conifer Lowland</v>
      </c>
    </row>
    <row r="12" customFormat="false" ht="15" hidden="false" customHeight="false" outlineLevel="0" collapsed="false">
      <c r="A12" s="6" t="s">
        <v>83</v>
      </c>
      <c r="B12" s="7" t="s">
        <v>84</v>
      </c>
      <c r="D12" s="7" t="str">
        <f aca="false">Data!E9</f>
        <v>MCL</v>
      </c>
      <c r="E12" s="7" t="str">
        <f aca="false">IFERROR(VLOOKUP(D12, $A$5:$B$12, 2, FALSE()), "unknown")</f>
        <v>Conifer Lowland</v>
      </c>
    </row>
    <row r="13" customFormat="false" ht="15" hidden="false" customHeight="false" outlineLevel="0" collapsed="false">
      <c r="D13" s="7" t="str">
        <f aca="false">Data!E10</f>
        <v>MCL</v>
      </c>
      <c r="E13" s="7" t="str">
        <f aca="false">IFERROR(VLOOKUP(D13, $A$5:$B$12, 2, FALSE()), "unknown")</f>
        <v>Conifer Lowland</v>
      </c>
    </row>
    <row r="14" customFormat="false" ht="15" hidden="false" customHeight="false" outlineLevel="0" collapsed="false">
      <c r="D14" s="7" t="str">
        <f aca="false">Data!E11</f>
        <v>MCL</v>
      </c>
      <c r="E14" s="7" t="str">
        <f aca="false">IFERROR(VLOOKUP(D14, $A$5:$B$12, 2, FALSE()), "unknown")</f>
        <v>Conifer Lowland</v>
      </c>
    </row>
    <row r="15" customFormat="false" ht="15" hidden="false" customHeight="false" outlineLevel="0" collapsed="false">
      <c r="D15" s="7" t="str">
        <f aca="false">Data!E12</f>
        <v>MCU</v>
      </c>
      <c r="E15" s="7" t="str">
        <f aca="false">IFERROR(VLOOKUP(D15, $A$5:$B$12, 2, FALSE()), "unknown")</f>
        <v>Conifer Upland</v>
      </c>
    </row>
    <row r="16" customFormat="false" ht="15" hidden="false" customHeight="false" outlineLevel="0" collapsed="false">
      <c r="D16" s="7" t="str">
        <f aca="false">Data!E13</f>
        <v>MCU</v>
      </c>
      <c r="E16" s="7" t="str">
        <f aca="false">IFERROR(VLOOKUP(D16, $A$5:$B$12, 2, FALSE()), "unknown")</f>
        <v>Conifer Upland</v>
      </c>
    </row>
    <row r="17" customFormat="false" ht="15" hidden="false" customHeight="false" outlineLevel="0" collapsed="false">
      <c r="D17" s="7" t="str">
        <f aca="false">Data!E14</f>
        <v>MCU</v>
      </c>
      <c r="E17" s="7" t="str">
        <f aca="false">IFERROR(VLOOKUP(D17, $A$5:$B$12, 2, FALSE()), "unknown")</f>
        <v>Conifer Upland</v>
      </c>
    </row>
    <row r="18" customFormat="false" ht="15" hidden="false" customHeight="false" outlineLevel="0" collapsed="false">
      <c r="D18" s="7" t="str">
        <f aca="false">Data!E15</f>
        <v>MCU</v>
      </c>
      <c r="E18" s="7" t="str">
        <f aca="false">IFERROR(VLOOKUP(D18, $A$5:$B$12, 2, FALSE()), "unknown")</f>
        <v>Conifer Upland</v>
      </c>
    </row>
    <row r="19" customFormat="false" ht="15" hidden="false" customHeight="false" outlineLevel="0" collapsed="false">
      <c r="D19" s="7" t="str">
        <f aca="false">Data!E16</f>
        <v>MCU</v>
      </c>
      <c r="E19" s="7" t="str">
        <f aca="false">IFERROR(VLOOKUP(D19, $A$5:$B$12, 2, FALSE()), "unknown")</f>
        <v>Conifer Upland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2026-06-01T22:18:27Z</dcterms:created>
  <dc:creator>openpyxl</dc:creator>
  <dc:description/>
  <dc:language>en-US</dc:language>
  <cp:lastModifiedBy/>
  <dcterms:modified xsi:type="dcterms:W3CDTF">2026-06-01T22:18:27Z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
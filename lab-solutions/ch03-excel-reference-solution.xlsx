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BC_Data" sheetId="2" state="visible" r:id="rId4"/>
    <sheet name="ON_Data" sheetId="3" state="visible" r:id="rId5"/>
    <sheet name="Ex1_ChartChoice" sheetId="4" state="visible" r:id="rId6"/>
    <sheet name="Ex2_BC_TimeSeries" sheetId="5" state="visible" r:id="rId7"/>
    <sheet name="Ex3_ManualPivot" sheetId="6" state="visible" r:id="rId8"/>
    <sheet name="Ex4_AggregationSwitch" sheetId="7" state="visible" r:id="rId9"/>
    <sheet name="Ex5_Captions" sheetId="8" state="visible" r:id="rId10"/>
  </sheets>
  <definedNames>
    <definedName function="false" hidden="true" localSheetId="1" name="_xlnm._FilterDatabase" vbProcedure="false">BC_Data!$A$1:$H$38</definedName>
    <definedName function="false" hidden="true" localSheetId="2" name="_xlnm._FilterDatabase" vbProcedure="false">ON_Data!$A$1:$H$180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<sst xmlns="http://schemas.openxmlformats.org/spreadsheetml/2006/main" count="1196" uniqueCount="128">
  <si>
    <t xml:space="preserve">Chapter 3 — Instructor Solutions</t>
  </si>
  <si>
    <t xml:space="preserve">Completed worked answers. NOT for distribution to learners.</t>
  </si>
  <si>
    <t xml:space="preserve">Chapter focus</t>
  </si>
  <si>
    <t xml:space="preserve">Excel visualization and PivotTables. Bridges the raw Excel work of Chapters 1-2 into tidy-data thinking.</t>
  </si>
  <si>
    <t xml:space="preserve">Datasets used</t>
  </si>
  <si>
    <t xml:space="preserve">1) BC silviculture (bc_disturbance_reforestation.xlsx) for time-series charts. 2) Ontario forest stats (on_forest_statistics_1.xlsx) for PivotTables.</t>
  </si>
  <si>
    <t xml:space="preserve">BC dataset source</t>
  </si>
  <si>
    <t xml:space="preserve">BC Government / BC Data Catalogue — Environmental Reporting BC, Trends in Silviculture in B.C.</t>
  </si>
  <si>
    <t xml:space="preserve">Ontario dataset source</t>
  </si>
  <si>
    <t xml:space="preserve">Government of Ontario / Ontario Open Data Catalogue — Forest Resources of Ontario 2021.</t>
  </si>
  <si>
    <t xml:space="preserve">BC licence</t>
  </si>
  <si>
    <t xml:space="preserve">Open Government Licence — British Columbia</t>
  </si>
  <si>
    <t xml:space="preserve">Ontario licence</t>
  </si>
  <si>
    <t xml:space="preserve">Open Government Licence — Ontario</t>
  </si>
  <si>
    <t xml:space="preserve">BC_Data sheet</t>
  </si>
  <si>
    <t xml:space="preserve">Read-only copy of bc_disturbance_reforestation.xlsx Data sheet. 37 rows x 8 cols.</t>
  </si>
  <si>
    <t xml:space="preserve">ON_Data sheet</t>
  </si>
  <si>
    <t xml:space="preserve">Read-only copy of on_forest_statistics_1.xlsx Data sheet. 179 rows x 8 cols (Region 3E only).</t>
  </si>
  <si>
    <t xml:space="preserve">Adapted for</t>
  </si>
  <si>
    <t xml:space="preserve">FRST 232 — Computer Applications in Forestry (UBC), Chapter 3 of the OER book</t>
  </si>
  <si>
    <t xml:space="preserve">How to use this file</t>
  </si>
  <si>
    <t xml:space="preserve">This file is for instructor reference only. It contains completed formulas and worked answers. Hide or remove before distributing materials to learners.</t>
  </si>
  <si>
    <t xml:space="preserve">Fiscal_Year</t>
  </si>
  <si>
    <t xml:space="preserve">Clearcutting_ha</t>
  </si>
  <si>
    <t xml:space="preserve">Clearcutting_with_reserves_ha</t>
  </si>
  <si>
    <t xml:space="preserve">Partial_cutting_ha</t>
  </si>
  <si>
    <t xml:space="preserve">Harvested_ha</t>
  </si>
  <si>
    <t xml:space="preserve">Natural_Disturbance_ha</t>
  </si>
  <si>
    <t xml:space="preserve">Total_Disturbance_ha</t>
  </si>
  <si>
    <t xml:space="preserve">Reforestation_ha</t>
  </si>
  <si>
    <t xml:space="preserve">landscape_guide_region</t>
  </si>
  <si>
    <t xml:space="preserve">own_group</t>
  </si>
  <si>
    <t xml:space="preserve">LGDS</t>
  </si>
  <si>
    <t xml:space="preserve">SERAL_NAME</t>
  </si>
  <si>
    <t xml:space="preserve">PFT</t>
  </si>
  <si>
    <t xml:space="preserve">PFTName</t>
  </si>
  <si>
    <t xml:space="preserve">AC_10</t>
  </si>
  <si>
    <t xml:space="preserve">SumOfTotalHa</t>
  </si>
  <si>
    <t xml:space="preserve">3E</t>
  </si>
  <si>
    <t xml:space="preserve">CRN</t>
  </si>
  <si>
    <t xml:space="preserve">I</t>
  </si>
  <si>
    <t xml:space="preserve">Immature</t>
  </si>
  <si>
    <t xml:space="preserve">BWT</t>
  </si>
  <si>
    <t xml:space="preserve">White Birch</t>
  </si>
  <si>
    <t xml:space="preserve">MCL</t>
  </si>
  <si>
    <t xml:space="preserve">Conifer Lowland</t>
  </si>
  <si>
    <t xml:space="preserve">MCU</t>
  </si>
  <si>
    <t xml:space="preserve">Conifer Upland</t>
  </si>
  <si>
    <t xml:space="preserve">MIX</t>
  </si>
  <si>
    <t xml:space="preserve">Mixedwood</t>
  </si>
  <si>
    <t xml:space="preserve">PJK</t>
  </si>
  <si>
    <t xml:space="preserve">Jack Pine</t>
  </si>
  <si>
    <t xml:space="preserve">POP</t>
  </si>
  <si>
    <t xml:space="preserve">Poplar</t>
  </si>
  <si>
    <t xml:space="preserve">PWR</t>
  </si>
  <si>
    <t xml:space="preserve">Red and White Pine</t>
  </si>
  <si>
    <t xml:space="preserve">TOL</t>
  </si>
  <si>
    <t xml:space="preserve">Tolerant Hardwoods</t>
  </si>
  <si>
    <t xml:space="preserve">L</t>
  </si>
  <si>
    <t xml:space="preserve">Late Successional</t>
  </si>
  <si>
    <t xml:space="preserve">M</t>
  </si>
  <si>
    <t xml:space="preserve">Mature</t>
  </si>
  <si>
    <t xml:space="preserve">P</t>
  </si>
  <si>
    <t xml:space="preserve">Pre-Sapling</t>
  </si>
  <si>
    <t xml:space="preserve">S</t>
  </si>
  <si>
    <t xml:space="preserve">Sapling</t>
  </si>
  <si>
    <t xml:space="preserve">Exercise 1 — Chart-choice solutions</t>
  </si>
  <si>
    <t xml:space="preserve">Recommended chart type for each question, with rationale.</t>
  </si>
  <si>
    <t xml:space="preserve">Forestry question</t>
  </si>
  <si>
    <t xml:space="preserve">Best chart type</t>
  </si>
  <si>
    <t xml:space="preserve">Why</t>
  </si>
  <si>
    <t xml:space="preserve">How has BC reforestation changed each year from 1987 to 2023?</t>
  </si>
  <si>
    <t xml:space="preserve">line</t>
  </si>
  <si>
    <t xml:space="preserve">Single quantity over time.</t>
  </si>
  <si>
    <t xml:space="preserve">Which forest type in Region 3E has the most mature area?</t>
  </si>
  <si>
    <t xml:space="preserve">sorted bar</t>
  </si>
  <si>
    <t xml:space="preserve">Comparing one numeric value across categorical groups.</t>
  </si>
  <si>
    <t xml:space="preserve">How does PM2.5 relate to daily temperature?</t>
  </si>
  <si>
    <t xml:space="preserve">scatter</t>
  </si>
  <si>
    <t xml:space="preserve">Two numeric variables, one observation per point.</t>
  </si>
  <si>
    <t xml:space="preserve">What share of total harvest came from clearcutting vs partial cutting in 2023?</t>
  </si>
  <si>
    <t xml:space="preserve">stacked column (or 100% stacked)</t>
  </si>
  <si>
    <t xml:space="preserve">Composition of a whole across a small number of parts.</t>
  </si>
  <si>
    <t xml:space="preserve">Which fiscal year had the largest natural disturbance, and by how much?</t>
  </si>
  <si>
    <t xml:space="preserve">column (sorted or time-ordered)</t>
  </si>
  <si>
    <t xml:space="preserve">Comparing one quantity across many discrete categories.</t>
  </si>
  <si>
    <t xml:space="preserve">How does the composition of seral stages vary across forest types?</t>
  </si>
  <si>
    <t xml:space="preserve">100% stacked column</t>
  </si>
  <si>
    <t xml:space="preserve">Showing how parts make up the whole for each category.</t>
  </si>
  <si>
    <t xml:space="preserve">Have annual harvest totals trended up or down since the 1990s?</t>
  </si>
  <si>
    <t xml:space="preserve">line (with optional trend line)</t>
  </si>
  <si>
    <t xml:space="preserve">Change over time for a single quantity.</t>
  </si>
  <si>
    <t xml:space="preserve">Exercise 2 — BC chart + summary (Solutions)</t>
  </si>
  <si>
    <t xml:space="preserve">Completed summary formulas. Chart itself must be built interactively in Excel.</t>
  </si>
  <si>
    <t xml:space="preserve">Statistic</t>
  </si>
  <si>
    <t xml:space="preserve">Formula</t>
  </si>
  <si>
    <t xml:space="preserve">Result</t>
  </si>
  <si>
    <t xml:space="preserve">Total reforestation across 37 years</t>
  </si>
  <si>
    <t xml:space="preserve"> =SUM(BC_Data!$H$2:$H$38)</t>
  </si>
  <si>
    <t xml:space="preserve">Mean total disturbance</t>
  </si>
  <si>
    <t xml:space="preserve"> =AVERAGE(BC_Data!$G$2:$G$38)</t>
  </si>
  <si>
    <t xml:space="preserve">Max natural disturbance (single year)</t>
  </si>
  <si>
    <t xml:space="preserve"> =MAX(BC_Data!$F$2:$F$38)</t>
  </si>
  <si>
    <t xml:space="preserve">Min natural disturbance (single year)</t>
  </si>
  <si>
    <t xml:space="preserve"> =MIN(BC_Data!$F$2:$F$38)</t>
  </si>
  <si>
    <t xml:space="preserve">Median total disturbance</t>
  </si>
  <si>
    <t xml:space="preserve"> =MEDIAN(BC_Data!$G$2:$G$38)</t>
  </si>
  <si>
    <t xml:space="preserve">Exercise 3 — Cross-tab with SUMIFS (Solutions)</t>
  </si>
  <si>
    <t xml:space="preserve">Each cell is a working SUMIFS formula. Recalc will compute the values.</t>
  </si>
  <si>
    <t xml:space="preserve">PFTName / SERAL_NAME</t>
  </si>
  <si>
    <t xml:space="preserve">Row total</t>
  </si>
  <si>
    <t xml:space="preserve">Exercise 4 — Aggregation switch (Solutions)</t>
  </si>
  <si>
    <t xml:space="preserve">SUM (total ha)</t>
  </si>
  <si>
    <t xml:space="preserve">COUNT (rows)</t>
  </si>
  <si>
    <t xml:space="preserve">AVERAGE (ha)</t>
  </si>
  <si>
    <t xml:space="preserve">Observation</t>
  </si>
  <si>
    <t xml:space="preserve">Conifer Lowland typically leads on SUM (total area). But other forest types may lead on COUNT (number of age-class combinations). The 'winner' depends on the question — that is the whole point of the aggregation switch.</t>
  </si>
  <si>
    <t xml:space="preserve">Exercise 5 — Caption examples (Solutions)</t>
  </si>
  <si>
    <t xml:space="preserve">Chart</t>
  </si>
  <si>
    <t xml:space="preserve">Example caption</t>
  </si>
  <si>
    <t xml:space="preserve">Line chart of BC Reforestation_ha and Total_Disturbance_ha, 1987-2023</t>
  </si>
  <si>
    <t xml:space="preserve">Figure 1. BC reforestation has tracked total disturbance since the late 1990s, with the exception of the 2017 wildfire spike. Source: Environmental Reporting BC, Trends in Silviculture in B.C., retrieved 2026-05-24.</t>
  </si>
  <si>
    <t xml:space="preserve">Column chart of Natural_Disturbance_ha by Fiscal_Year</t>
  </si>
  <si>
    <t xml:space="preserve">Figure 2. Natural disturbance in BC peaked in 2017 at 218,275 ha — the largest wildfire season on record. Source: Environmental Reporting BC, Trends in Silviculture in B.C.</t>
  </si>
  <si>
    <t xml:space="preserve">Cross-tab PivotChart of SumOfTotalHa by PFTName x SERAL_NAME</t>
  </si>
  <si>
    <t xml:space="preserve">Figure 3. Total forested area in Region 3E by forest type and seral stage. Source: Government of Ontario, Forest Resources of Ontario 2021.</t>
  </si>
  <si>
    <t xml:space="preserve">PivotChart sorted by total area, descending, for 8 forest types</t>
  </si>
  <si>
    <t xml:space="preserve">Figure 4. Conifer Lowland covers the largest area in Region 3E, followed by Mixedwood and Conifer Upland. Source: Government of Ontario, Forest Resources of Ontario 2021.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</si>
</sst>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.00"/>
    <numFmt numFmtId="16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332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B4332"/>
      <name val="Calibri"/>
      <family val="0"/>
      <charset val="1"/>
    </font>
    <font>
      <sz val="10"/>
      <name val="Consola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4332"/>
        <bgColor rgb="FF333300"/>
      </patternFill>
    </fill>
    <fill>
      <patternFill patternType="solid">
        <fgColor rgb="FFD8F3D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4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F3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3" customFormat="false" ht="31.5" hidden="false" customHeight="true" outlineLevel="0" collapsed="false">
      <c r="A3" s="3" t="s">
        <v>2</v>
      </c>
      <c r="B3" s="4" t="s">
        <v>3</v>
      </c>
      <c r="C3" s="4"/>
      <c r="D3" s="4"/>
    </row>
    <row r="4" customFormat="false" ht="31.5" hidden="false" customHeight="true" outlineLevel="0" collapsed="false">
      <c r="A4" s="3" t="s">
        <v>4</v>
      </c>
      <c r="B4" s="4" t="s">
        <v>5</v>
      </c>
      <c r="C4" s="4"/>
      <c r="D4" s="4"/>
    </row>
    <row r="5" customFormat="false" ht="31.5" hidden="false" customHeight="true" outlineLevel="0" collapsed="false">
      <c r="A5" s="3" t="s">
        <v>6</v>
      </c>
      <c r="B5" s="4" t="s">
        <v>7</v>
      </c>
      <c r="C5" s="4"/>
      <c r="D5" s="4"/>
    </row>
    <row r="6" customFormat="false" ht="31.5" hidden="false" customHeight="true" outlineLevel="0" collapsed="false">
      <c r="A6" s="3" t="s">
        <v>8</v>
      </c>
      <c r="B6" s="4" t="s">
        <v>9</v>
      </c>
      <c r="C6" s="4"/>
      <c r="D6" s="4"/>
    </row>
    <row r="7" customFormat="false" ht="31.5" hidden="false" customHeight="true" outlineLevel="0" collapsed="false">
      <c r="A7" s="3" t="s">
        <v>10</v>
      </c>
      <c r="B7" s="4" t="s">
        <v>11</v>
      </c>
      <c r="C7" s="4"/>
      <c r="D7" s="4"/>
    </row>
    <row r="8" customFormat="false" ht="31.5" hidden="false" customHeight="true" outlineLevel="0" collapsed="false">
      <c r="A8" s="3" t="s">
        <v>12</v>
      </c>
      <c r="B8" s="4" t="s">
        <v>13</v>
      </c>
      <c r="C8" s="4"/>
      <c r="D8" s="4"/>
    </row>
    <row r="9" customFormat="false" ht="31.5" hidden="false" customHeight="true" outlineLevel="0" collapsed="false">
      <c r="A9" s="3" t="s">
        <v>14</v>
      </c>
      <c r="B9" s="4" t="s">
        <v>15</v>
      </c>
      <c r="C9" s="4"/>
      <c r="D9" s="4"/>
    </row>
    <row r="10" customFormat="false" ht="31.5" hidden="false" customHeight="true" outlineLevel="0" collapsed="false">
      <c r="A10" s="3" t="s">
        <v>16</v>
      </c>
      <c r="B10" s="4" t="s">
        <v>17</v>
      </c>
      <c r="C10" s="4"/>
      <c r="D10" s="4"/>
    </row>
    <row r="11" customFormat="false" ht="31.5" hidden="false" customHeight="true" outlineLevel="0" collapsed="false">
      <c r="A11" s="3" t="s">
        <v>18</v>
      </c>
      <c r="B11" s="4" t="s">
        <v>19</v>
      </c>
      <c r="C11" s="4"/>
      <c r="D11" s="4"/>
    </row>
    <row r="13" customFormat="false" ht="31.5" hidden="false" customHeight="true" outlineLevel="0" collapsed="false">
      <c r="A13" s="3" t="s">
        <v>20</v>
      </c>
      <c r="B13" s="4" t="s">
        <v>21</v>
      </c>
      <c r="C13" s="4"/>
      <c r="D13" s="4"/>
    </row>
  </sheetData>
  <mergeCells count="12">
    <mergeCell ref="A1:D1"/>
    <mergeCell ref="A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3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4" min="3" style="0" width="22"/>
    <col collapsed="false" customWidth="true" hidden="false" outlineLevel="0" max="5" min="5" style="0" width="16"/>
    <col collapsed="false" customWidth="true" hidden="false" outlineLevel="0" max="7" min="6" style="0" width="22"/>
    <col collapsed="false" customWidth="true" hidden="false" outlineLevel="0" max="8" min="8" style="0" width="20"/>
  </cols>
  <sheetData>
    <row r="1" customFormat="false" ht="25.5" hidden="false" customHeight="true" outlineLevel="0" collapsed="false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</row>
    <row r="2" customFormat="false" ht="15" hidden="false" customHeight="false" outlineLevel="0" collapsed="false">
      <c r="A2" s="6" t="n">
        <v>1987</v>
      </c>
      <c r="B2" s="7" t="n">
        <v>216304.919</v>
      </c>
      <c r="C2" s="7" t="n">
        <v>5800.4</v>
      </c>
      <c r="D2" s="7" t="n">
        <v>20076.681</v>
      </c>
      <c r="E2" s="7" t="n">
        <v>242182</v>
      </c>
      <c r="F2" s="7" t="n">
        <v>20875</v>
      </c>
      <c r="G2" s="7" t="n">
        <v>263057</v>
      </c>
      <c r="H2" s="7" t="n">
        <v>201972.5</v>
      </c>
    </row>
    <row r="3" customFormat="false" ht="15" hidden="false" customHeight="false" outlineLevel="0" collapsed="false">
      <c r="A3" s="6" t="n">
        <v>1988</v>
      </c>
      <c r="B3" s="7" t="n">
        <v>217836.074</v>
      </c>
      <c r="C3" s="7" t="n">
        <v>1842.952</v>
      </c>
      <c r="D3" s="7" t="n">
        <v>31878.294</v>
      </c>
      <c r="E3" s="7" t="n">
        <v>251557.32</v>
      </c>
      <c r="F3" s="7" t="n">
        <v>9641.2</v>
      </c>
      <c r="G3" s="7" t="n">
        <v>261198.52</v>
      </c>
      <c r="H3" s="7" t="n">
        <v>221296.29</v>
      </c>
    </row>
    <row r="4" customFormat="false" ht="15" hidden="false" customHeight="false" outlineLevel="0" collapsed="false">
      <c r="A4" s="6" t="n">
        <v>1989</v>
      </c>
      <c r="B4" s="7" t="n">
        <v>190635.52</v>
      </c>
      <c r="C4" s="7" t="n">
        <v>1456.666</v>
      </c>
      <c r="D4" s="7" t="n">
        <v>23785.954</v>
      </c>
      <c r="E4" s="7" t="n">
        <v>215878.14</v>
      </c>
      <c r="F4" s="7" t="n">
        <v>10711.8</v>
      </c>
      <c r="G4" s="7" t="n">
        <v>226589.94</v>
      </c>
      <c r="H4" s="7" t="n">
        <v>237275.91</v>
      </c>
    </row>
    <row r="5" customFormat="false" ht="15" hidden="false" customHeight="false" outlineLevel="0" collapsed="false">
      <c r="A5" s="6" t="n">
        <v>1990</v>
      </c>
      <c r="B5" s="7" t="n">
        <v>172360.787</v>
      </c>
      <c r="C5" s="7" t="n">
        <v>1400.013</v>
      </c>
      <c r="D5" s="7" t="n">
        <v>18930.8</v>
      </c>
      <c r="E5" s="7" t="n">
        <v>192691.6</v>
      </c>
      <c r="F5" s="7" t="n">
        <v>28300.7</v>
      </c>
      <c r="G5" s="7" t="n">
        <v>220992.3</v>
      </c>
      <c r="H5" s="7" t="n">
        <v>260370.84</v>
      </c>
    </row>
    <row r="6" customFormat="false" ht="15" hidden="false" customHeight="false" outlineLevel="0" collapsed="false">
      <c r="A6" s="6" t="n">
        <v>1991</v>
      </c>
      <c r="B6" s="7" t="n">
        <v>192005.358</v>
      </c>
      <c r="C6" s="7" t="n">
        <v>1514.813</v>
      </c>
      <c r="D6" s="7" t="n">
        <v>19696.739</v>
      </c>
      <c r="E6" s="7" t="n">
        <v>213216.91</v>
      </c>
      <c r="F6" s="7" t="n">
        <v>14423.5</v>
      </c>
      <c r="G6" s="7" t="n">
        <v>227640.41</v>
      </c>
      <c r="H6" s="7" t="n">
        <v>245370.03</v>
      </c>
    </row>
    <row r="7" customFormat="false" ht="15" hidden="false" customHeight="false" outlineLevel="0" collapsed="false">
      <c r="A7" s="6" t="n">
        <v>1992</v>
      </c>
      <c r="B7" s="7" t="n">
        <v>209443.98</v>
      </c>
      <c r="C7" s="7" t="n">
        <v>2951.128</v>
      </c>
      <c r="D7" s="7" t="n">
        <v>21690.592</v>
      </c>
      <c r="E7" s="7" t="n">
        <v>234085.7</v>
      </c>
      <c r="F7" s="7" t="n">
        <v>5634.6</v>
      </c>
      <c r="G7" s="7" t="n">
        <v>239720.3</v>
      </c>
      <c r="H7" s="7" t="n">
        <v>224983.4</v>
      </c>
    </row>
    <row r="8" customFormat="false" ht="15" hidden="false" customHeight="false" outlineLevel="0" collapsed="false">
      <c r="A8" s="6" t="n">
        <v>1993</v>
      </c>
      <c r="B8" s="7" t="n">
        <v>200847.5346</v>
      </c>
      <c r="C8" s="7" t="n">
        <v>1570.342</v>
      </c>
      <c r="D8" s="7" t="n">
        <v>23263.5784</v>
      </c>
      <c r="E8" s="7" t="n">
        <v>225681.455</v>
      </c>
      <c r="F8" s="7" t="n">
        <v>7562.4</v>
      </c>
      <c r="G8" s="7" t="n">
        <v>233243.855</v>
      </c>
      <c r="H8" s="7" t="n">
        <v>248301.9</v>
      </c>
    </row>
    <row r="9" customFormat="false" ht="15" hidden="false" customHeight="false" outlineLevel="0" collapsed="false">
      <c r="A9" s="6" t="n">
        <v>1994</v>
      </c>
      <c r="B9" s="7" t="n">
        <v>175918.423</v>
      </c>
      <c r="C9" s="7" t="n">
        <v>923.928</v>
      </c>
      <c r="D9" s="7" t="n">
        <v>18749.619</v>
      </c>
      <c r="E9" s="7" t="n">
        <v>195591.97</v>
      </c>
      <c r="F9" s="7" t="n">
        <v>13501.4</v>
      </c>
      <c r="G9" s="7" t="n">
        <v>209093.37</v>
      </c>
      <c r="H9" s="7" t="n">
        <v>256980.13</v>
      </c>
    </row>
    <row r="10" customFormat="false" ht="15" hidden="false" customHeight="false" outlineLevel="0" collapsed="false">
      <c r="A10" s="6" t="n">
        <v>1995</v>
      </c>
      <c r="B10" s="7" t="n">
        <v>167142.852</v>
      </c>
      <c r="C10" s="7" t="n">
        <v>4182.881</v>
      </c>
      <c r="D10" s="7" t="n">
        <v>19067.673</v>
      </c>
      <c r="E10" s="7" t="n">
        <v>190393.406</v>
      </c>
      <c r="F10" s="7" t="n">
        <v>17180.6</v>
      </c>
      <c r="G10" s="7" t="n">
        <v>207574.006</v>
      </c>
      <c r="H10" s="7" t="n">
        <v>250835.29</v>
      </c>
    </row>
    <row r="11" customFormat="false" ht="15" hidden="false" customHeight="false" outlineLevel="0" collapsed="false">
      <c r="A11" s="6" t="n">
        <v>1996</v>
      </c>
      <c r="B11" s="7" t="n">
        <v>166369.333</v>
      </c>
      <c r="C11" s="7" t="n">
        <v>14044.868</v>
      </c>
      <c r="D11" s="7" t="n">
        <v>20996.569</v>
      </c>
      <c r="E11" s="7" t="n">
        <v>201410.77</v>
      </c>
      <c r="F11" s="7" t="n">
        <v>28732.7</v>
      </c>
      <c r="G11" s="7" t="n">
        <v>230143.47</v>
      </c>
      <c r="H11" s="7" t="n">
        <v>242008.34</v>
      </c>
    </row>
    <row r="12" customFormat="false" ht="15" hidden="false" customHeight="false" outlineLevel="0" collapsed="false">
      <c r="A12" s="6" t="n">
        <v>1997</v>
      </c>
      <c r="B12" s="7" t="n">
        <v>140118.505</v>
      </c>
      <c r="C12" s="7" t="n">
        <v>26498.803</v>
      </c>
      <c r="D12" s="7" t="n">
        <v>16705.013</v>
      </c>
      <c r="E12" s="7" t="n">
        <v>183322.321</v>
      </c>
      <c r="F12" s="7" t="n">
        <v>5365.7</v>
      </c>
      <c r="G12" s="7" t="n">
        <v>188688.021</v>
      </c>
      <c r="H12" s="7" t="n">
        <v>219924.74</v>
      </c>
    </row>
    <row r="13" customFormat="false" ht="15" hidden="false" customHeight="false" outlineLevel="0" collapsed="false">
      <c r="A13" s="6" t="n">
        <v>1998</v>
      </c>
      <c r="B13" s="7" t="n">
        <v>116268.5586</v>
      </c>
      <c r="C13" s="7" t="n">
        <v>48992.16077</v>
      </c>
      <c r="D13" s="7" t="n">
        <v>18978.192</v>
      </c>
      <c r="E13" s="7" t="n">
        <v>184238.9114</v>
      </c>
      <c r="F13" s="7" t="n">
        <v>13744.9</v>
      </c>
      <c r="G13" s="7" t="n">
        <v>197983.8114</v>
      </c>
      <c r="H13" s="7" t="n">
        <v>206753.6</v>
      </c>
    </row>
    <row r="14" customFormat="false" ht="15" hidden="false" customHeight="false" outlineLevel="0" collapsed="false">
      <c r="A14" s="6" t="n">
        <v>1999</v>
      </c>
      <c r="B14" s="7" t="n">
        <v>138326.964</v>
      </c>
      <c r="C14" s="7" t="n">
        <v>60597.407</v>
      </c>
      <c r="D14" s="7" t="n">
        <v>17377.753</v>
      </c>
      <c r="E14" s="7" t="n">
        <v>216302.124</v>
      </c>
      <c r="F14" s="7" t="n">
        <v>10286.5</v>
      </c>
      <c r="G14" s="7" t="n">
        <v>226588.624</v>
      </c>
      <c r="H14" s="7" t="n">
        <v>205815.31</v>
      </c>
    </row>
    <row r="15" customFormat="false" ht="15" hidden="false" customHeight="false" outlineLevel="0" collapsed="false">
      <c r="A15" s="6" t="n">
        <v>2000</v>
      </c>
      <c r="B15" s="7" t="n">
        <v>117242.4684</v>
      </c>
      <c r="C15" s="7" t="n">
        <v>76934.883</v>
      </c>
      <c r="D15" s="7" t="n">
        <v>16945.545</v>
      </c>
      <c r="E15" s="7" t="n">
        <v>211122.8964</v>
      </c>
      <c r="F15" s="7" t="n">
        <v>10846.9</v>
      </c>
      <c r="G15" s="7" t="n">
        <v>221969.7964</v>
      </c>
      <c r="H15" s="7" t="n">
        <v>211599.13</v>
      </c>
    </row>
    <row r="16" customFormat="false" ht="15" hidden="false" customHeight="false" outlineLevel="0" collapsed="false">
      <c r="A16" s="6" t="n">
        <v>2001</v>
      </c>
      <c r="B16" s="7" t="n">
        <v>93393.2746</v>
      </c>
      <c r="C16" s="7" t="n">
        <v>91648.258</v>
      </c>
      <c r="D16" s="7" t="n">
        <v>16108.647</v>
      </c>
      <c r="E16" s="7" t="n">
        <v>201150.1796</v>
      </c>
      <c r="F16" s="7" t="n">
        <v>3931.3</v>
      </c>
      <c r="G16" s="7" t="n">
        <v>205081.4796</v>
      </c>
      <c r="H16" s="7" t="n">
        <v>214605.48</v>
      </c>
    </row>
    <row r="17" customFormat="false" ht="15" hidden="false" customHeight="false" outlineLevel="0" collapsed="false">
      <c r="A17" s="6" t="n">
        <v>2002</v>
      </c>
      <c r="B17" s="7" t="n">
        <v>88050.2915</v>
      </c>
      <c r="C17" s="7" t="n">
        <v>120020.1923</v>
      </c>
      <c r="D17" s="7" t="n">
        <v>14628.161</v>
      </c>
      <c r="E17" s="7" t="n">
        <v>222698.6448</v>
      </c>
      <c r="F17" s="7" t="n">
        <v>1448.1</v>
      </c>
      <c r="G17" s="7" t="n">
        <v>224146.7448</v>
      </c>
      <c r="H17" s="7" t="n">
        <v>195489.28</v>
      </c>
    </row>
    <row r="18" customFormat="false" ht="15" hidden="false" customHeight="false" outlineLevel="0" collapsed="false">
      <c r="A18" s="6" t="n">
        <v>2003</v>
      </c>
      <c r="B18" s="7" t="n">
        <v>80104.438</v>
      </c>
      <c r="C18" s="7" t="n">
        <v>121658.242</v>
      </c>
      <c r="D18" s="7" t="n">
        <v>12062.775</v>
      </c>
      <c r="E18" s="7" t="n">
        <v>213825.455</v>
      </c>
      <c r="F18" s="7" t="n">
        <v>54903.588</v>
      </c>
      <c r="G18" s="7" t="n">
        <v>268729.043</v>
      </c>
      <c r="H18" s="7" t="n">
        <v>215144.32</v>
      </c>
    </row>
    <row r="19" customFormat="false" ht="15" hidden="false" customHeight="false" outlineLevel="0" collapsed="false">
      <c r="A19" s="6" t="n">
        <v>2004</v>
      </c>
      <c r="B19" s="7" t="n">
        <v>82453.6894</v>
      </c>
      <c r="C19" s="7" t="n">
        <v>135730.3119</v>
      </c>
      <c r="D19" s="7" t="n">
        <v>12048.40527</v>
      </c>
      <c r="E19" s="7" t="n">
        <v>230232.4066</v>
      </c>
      <c r="F19" s="7" t="n">
        <v>24311.6</v>
      </c>
      <c r="G19" s="7" t="n">
        <v>254544.0066</v>
      </c>
      <c r="H19" s="7" t="n">
        <v>200046.69</v>
      </c>
    </row>
    <row r="20" customFormat="false" ht="15" hidden="false" customHeight="false" outlineLevel="0" collapsed="false">
      <c r="A20" s="6" t="n">
        <v>2005</v>
      </c>
      <c r="B20" s="7" t="n">
        <v>76531.3104</v>
      </c>
      <c r="C20" s="7" t="n">
        <v>165084.6093</v>
      </c>
      <c r="D20" s="7" t="n">
        <v>8919.1675</v>
      </c>
      <c r="E20" s="7" t="n">
        <v>250535.0872</v>
      </c>
      <c r="F20" s="7" t="n">
        <v>27827.8</v>
      </c>
      <c r="G20" s="7" t="n">
        <v>278362.8872</v>
      </c>
      <c r="H20" s="7" t="n">
        <v>225929.87</v>
      </c>
    </row>
    <row r="21" customFormat="false" ht="15" hidden="false" customHeight="false" outlineLevel="0" collapsed="false">
      <c r="A21" s="6" t="n">
        <v>2006</v>
      </c>
      <c r="B21" s="7" t="n">
        <v>52991.798</v>
      </c>
      <c r="C21" s="7" t="n">
        <v>155763.867</v>
      </c>
      <c r="D21" s="7" t="n">
        <v>6181.175</v>
      </c>
      <c r="E21" s="7" t="n">
        <v>214936.84</v>
      </c>
      <c r="F21" s="7" t="n">
        <v>71927.4</v>
      </c>
      <c r="G21" s="7" t="n">
        <v>286864.24</v>
      </c>
      <c r="H21" s="7" t="n">
        <v>274616.1</v>
      </c>
    </row>
    <row r="22" customFormat="false" ht="15" hidden="false" customHeight="false" outlineLevel="0" collapsed="false">
      <c r="A22" s="6" t="n">
        <v>2007</v>
      </c>
      <c r="B22" s="7" t="n">
        <v>42129.927</v>
      </c>
      <c r="C22" s="7" t="n">
        <v>153285.0309</v>
      </c>
      <c r="D22" s="7" t="n">
        <v>5602.889</v>
      </c>
      <c r="E22" s="7" t="n">
        <v>201017.8469</v>
      </c>
      <c r="F22" s="7" t="n">
        <v>13907.6</v>
      </c>
      <c r="G22" s="7" t="n">
        <v>214925.4469</v>
      </c>
      <c r="H22" s="7" t="n">
        <v>246869.34</v>
      </c>
    </row>
    <row r="23" customFormat="false" ht="15" hidden="false" customHeight="false" outlineLevel="0" collapsed="false">
      <c r="A23" s="6" t="n">
        <v>2008</v>
      </c>
      <c r="B23" s="7" t="n">
        <v>30003.97</v>
      </c>
      <c r="C23" s="7" t="n">
        <v>132360.559</v>
      </c>
      <c r="D23" s="7" t="n">
        <v>3638.145</v>
      </c>
      <c r="E23" s="7" t="n">
        <v>166002.674</v>
      </c>
      <c r="F23" s="7" t="n">
        <v>25469.3</v>
      </c>
      <c r="G23" s="7" t="n">
        <v>191471.974</v>
      </c>
      <c r="H23" s="7" t="n">
        <v>237128.93</v>
      </c>
    </row>
    <row r="24" customFormat="false" ht="15" hidden="false" customHeight="false" outlineLevel="0" collapsed="false">
      <c r="A24" s="6" t="n">
        <v>2009</v>
      </c>
      <c r="B24" s="7" t="n">
        <v>25785.674</v>
      </c>
      <c r="C24" s="7" t="n">
        <v>130819.615</v>
      </c>
      <c r="D24" s="7" t="n">
        <v>2501.853</v>
      </c>
      <c r="E24" s="7" t="n">
        <v>159107.142</v>
      </c>
      <c r="F24" s="7" t="n">
        <v>45921.8</v>
      </c>
      <c r="G24" s="7" t="n">
        <v>205028.942</v>
      </c>
      <c r="H24" s="7" t="n">
        <v>197732.72</v>
      </c>
    </row>
    <row r="25" customFormat="false" ht="15" hidden="false" customHeight="false" outlineLevel="0" collapsed="false">
      <c r="A25" s="6" t="n">
        <v>2010</v>
      </c>
      <c r="B25" s="7" t="n">
        <v>33320.477</v>
      </c>
      <c r="C25" s="7" t="n">
        <v>155614.319</v>
      </c>
      <c r="D25" s="7" t="n">
        <v>3194.584</v>
      </c>
      <c r="E25" s="7" t="n">
        <v>192129.38</v>
      </c>
      <c r="F25" s="7" t="n">
        <v>86239.93</v>
      </c>
      <c r="G25" s="7" t="n">
        <v>278369.31</v>
      </c>
      <c r="H25" s="7" t="n">
        <v>207668.42</v>
      </c>
    </row>
    <row r="26" customFormat="false" ht="15" hidden="false" customHeight="false" outlineLevel="0" collapsed="false">
      <c r="A26" s="6" t="n">
        <v>2011</v>
      </c>
      <c r="B26" s="7" t="n">
        <v>32561.85</v>
      </c>
      <c r="C26" s="7" t="n">
        <v>173798.888</v>
      </c>
      <c r="D26" s="7" t="n">
        <v>4019.462</v>
      </c>
      <c r="E26" s="7" t="n">
        <v>210380.2</v>
      </c>
      <c r="F26" s="7" t="n">
        <v>3241.7</v>
      </c>
      <c r="G26" s="7" t="n">
        <v>213621.9</v>
      </c>
      <c r="H26" s="7" t="n">
        <v>193250.32</v>
      </c>
    </row>
    <row r="27" customFormat="false" ht="15" hidden="false" customHeight="false" outlineLevel="0" collapsed="false">
      <c r="A27" s="6" t="n">
        <v>2012</v>
      </c>
      <c r="B27" s="7" t="n">
        <v>29333.979</v>
      </c>
      <c r="C27" s="7" t="n">
        <v>182378.166</v>
      </c>
      <c r="D27" s="7" t="n">
        <v>3416.409</v>
      </c>
      <c r="E27" s="7" t="n">
        <v>215128.554</v>
      </c>
      <c r="F27" s="7" t="n">
        <v>5492.5</v>
      </c>
      <c r="G27" s="7" t="n">
        <v>220621.054</v>
      </c>
      <c r="H27" s="7" t="n">
        <v>215086.72</v>
      </c>
    </row>
    <row r="28" customFormat="false" ht="15" hidden="false" customHeight="false" outlineLevel="0" collapsed="false">
      <c r="A28" s="6" t="n">
        <v>2013</v>
      </c>
      <c r="B28" s="7" t="n">
        <v>28098.967</v>
      </c>
      <c r="C28" s="7" t="n">
        <v>195012.751</v>
      </c>
      <c r="D28" s="7" t="n">
        <v>3102.151</v>
      </c>
      <c r="E28" s="7" t="n">
        <v>226213.869</v>
      </c>
      <c r="F28" s="7" t="n">
        <v>2680.9</v>
      </c>
      <c r="G28" s="7" t="n">
        <v>228894.769</v>
      </c>
      <c r="H28" s="7" t="n">
        <v>214909.09</v>
      </c>
    </row>
    <row r="29" customFormat="false" ht="15" hidden="false" customHeight="false" outlineLevel="0" collapsed="false">
      <c r="A29" s="6" t="n">
        <v>2014</v>
      </c>
      <c r="B29" s="7" t="n">
        <v>25803.4287</v>
      </c>
      <c r="C29" s="7" t="n">
        <v>175498.699</v>
      </c>
      <c r="D29" s="7" t="n">
        <v>3489.162</v>
      </c>
      <c r="E29" s="7" t="n">
        <v>204791.2897</v>
      </c>
      <c r="F29" s="7" t="n">
        <v>29966.8</v>
      </c>
      <c r="G29" s="7" t="n">
        <v>234758.0897</v>
      </c>
      <c r="H29" s="7" t="n">
        <v>217204.82</v>
      </c>
    </row>
    <row r="30" customFormat="false" ht="15" hidden="false" customHeight="false" outlineLevel="0" collapsed="false">
      <c r="A30" s="6" t="n">
        <v>2015</v>
      </c>
      <c r="B30" s="7" t="n">
        <v>26864.044</v>
      </c>
      <c r="C30" s="7" t="n">
        <v>200699.071</v>
      </c>
      <c r="D30" s="7" t="n">
        <v>3285.485</v>
      </c>
      <c r="E30" s="7" t="n">
        <v>230848.6</v>
      </c>
      <c r="F30" s="7" t="n">
        <v>25147.8</v>
      </c>
      <c r="G30" s="7" t="n">
        <v>255996.4</v>
      </c>
      <c r="H30" s="7" t="n">
        <v>223938.67</v>
      </c>
    </row>
    <row r="31" customFormat="false" ht="15" hidden="false" customHeight="false" outlineLevel="0" collapsed="false">
      <c r="A31" s="6" t="n">
        <v>2016</v>
      </c>
      <c r="B31" s="7" t="n">
        <v>29517.711</v>
      </c>
      <c r="C31" s="7" t="n">
        <v>174297.603</v>
      </c>
      <c r="D31" s="7" t="n">
        <v>3805.165</v>
      </c>
      <c r="E31" s="7" t="n">
        <v>207620.479</v>
      </c>
      <c r="F31" s="7" t="n">
        <v>13114.5</v>
      </c>
      <c r="G31" s="7" t="n">
        <v>220734.979</v>
      </c>
      <c r="H31" s="7" t="n">
        <v>213446.23</v>
      </c>
    </row>
    <row r="32" customFormat="false" ht="15" hidden="false" customHeight="false" outlineLevel="0" collapsed="false">
      <c r="A32" s="6" t="n">
        <v>2017</v>
      </c>
      <c r="B32" s="7" t="n">
        <v>29170.857</v>
      </c>
      <c r="C32" s="7" t="n">
        <v>167049.328</v>
      </c>
      <c r="D32" s="7" t="n">
        <v>7596.211</v>
      </c>
      <c r="E32" s="7" t="n">
        <v>203816.396</v>
      </c>
      <c r="F32" s="7" t="n">
        <v>218275.3</v>
      </c>
      <c r="G32" s="7" t="n">
        <v>422091.696</v>
      </c>
      <c r="H32" s="7" t="n">
        <v>271522.03</v>
      </c>
    </row>
    <row r="33" customFormat="false" ht="15" hidden="false" customHeight="false" outlineLevel="0" collapsed="false">
      <c r="A33" s="6" t="n">
        <v>2018</v>
      </c>
      <c r="B33" s="7" t="n">
        <v>27074.234</v>
      </c>
      <c r="C33" s="7" t="n">
        <v>168086.596</v>
      </c>
      <c r="D33" s="7" t="n">
        <v>6795.513</v>
      </c>
      <c r="E33" s="7" t="n">
        <v>201956.343</v>
      </c>
      <c r="F33" s="7" t="n">
        <v>95545.57</v>
      </c>
      <c r="G33" s="7" t="n">
        <v>297501.913</v>
      </c>
      <c r="H33" s="7" t="n">
        <v>221338.65</v>
      </c>
    </row>
    <row r="34" customFormat="false" ht="15" hidden="false" customHeight="false" outlineLevel="0" collapsed="false">
      <c r="A34" s="6" t="n">
        <v>2019</v>
      </c>
      <c r="B34" s="7" t="n">
        <v>21162.097</v>
      </c>
      <c r="C34" s="7" t="n">
        <v>128082.859</v>
      </c>
      <c r="D34" s="7" t="n">
        <v>7344.229</v>
      </c>
      <c r="E34" s="7" t="n">
        <v>156589.185</v>
      </c>
      <c r="F34" s="7" t="n">
        <v>3682.9</v>
      </c>
      <c r="G34" s="7" t="n">
        <v>160272.085</v>
      </c>
      <c r="H34" s="7" t="n">
        <v>208460.62</v>
      </c>
    </row>
    <row r="35" customFormat="false" ht="15" hidden="false" customHeight="false" outlineLevel="0" collapsed="false">
      <c r="A35" s="6" t="n">
        <v>2020</v>
      </c>
      <c r="B35" s="7" t="n">
        <v>16742.689</v>
      </c>
      <c r="C35" s="7" t="n">
        <v>130204.817</v>
      </c>
      <c r="D35" s="7" t="n">
        <v>9273.472</v>
      </c>
      <c r="E35" s="7" t="n">
        <v>156220.978</v>
      </c>
      <c r="F35" s="7" t="n">
        <v>5012.36</v>
      </c>
      <c r="G35" s="7" t="n">
        <v>161233.338</v>
      </c>
      <c r="H35" s="7" t="n">
        <v>222286.85</v>
      </c>
    </row>
    <row r="36" customFormat="false" ht="15" hidden="false" customHeight="false" outlineLevel="0" collapsed="false">
      <c r="A36" s="6" t="n">
        <v>2021</v>
      </c>
      <c r="B36" s="7" t="n">
        <v>13177.1377</v>
      </c>
      <c r="C36" s="7" t="n">
        <v>122561.538</v>
      </c>
      <c r="D36" s="7" t="n">
        <v>8294.564</v>
      </c>
      <c r="E36" s="7" t="n">
        <v>144033.2397</v>
      </c>
      <c r="F36" s="7" t="n">
        <v>73022.5</v>
      </c>
      <c r="G36" s="7" t="n">
        <v>217055.7397</v>
      </c>
      <c r="H36" s="7" t="n">
        <v>224322.61</v>
      </c>
    </row>
    <row r="37" customFormat="false" ht="15" hidden="false" customHeight="false" outlineLevel="0" collapsed="false">
      <c r="A37" s="6" t="n">
        <v>2022</v>
      </c>
      <c r="B37" s="7" t="n">
        <v>9237.322</v>
      </c>
      <c r="C37" s="7" t="n">
        <v>100909.085</v>
      </c>
      <c r="D37" s="7" t="n">
        <v>8953.193</v>
      </c>
      <c r="E37" s="7" t="n">
        <v>119099.6</v>
      </c>
      <c r="F37" s="7" t="n">
        <v>8444</v>
      </c>
      <c r="G37" s="7" t="n">
        <v>127543.6</v>
      </c>
      <c r="H37" s="7" t="n">
        <v>200184.73</v>
      </c>
    </row>
    <row r="38" customFormat="false" ht="15" hidden="false" customHeight="false" outlineLevel="0" collapsed="false">
      <c r="A38" s="6" t="n">
        <v>2023</v>
      </c>
      <c r="B38" s="7" t="n">
        <v>7299.887</v>
      </c>
      <c r="C38" s="7" t="n">
        <v>65369.253</v>
      </c>
      <c r="D38" s="7" t="n">
        <v>6292.06</v>
      </c>
      <c r="E38" s="7" t="n">
        <v>78961.2</v>
      </c>
      <c r="F38" s="7" t="n">
        <v>37980.7</v>
      </c>
      <c r="G38" s="7" t="n">
        <v>116941.9</v>
      </c>
      <c r="H38" s="7" t="n">
        <v>189393.65</v>
      </c>
    </row>
  </sheetData>
  <autoFilter ref="A1:H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</row>
    <row r="2" customFormat="false" ht="15" hidden="false" customHeight="false" outlineLevel="0" collapsed="false">
      <c r="A2" s="8" t="s">
        <v>38</v>
      </c>
      <c r="B2" s="8" t="s">
        <v>39</v>
      </c>
      <c r="C2" s="8" t="s">
        <v>40</v>
      </c>
      <c r="D2" s="8" t="s">
        <v>41</v>
      </c>
      <c r="E2" s="8" t="s">
        <v>42</v>
      </c>
      <c r="F2" s="8" t="s">
        <v>43</v>
      </c>
      <c r="G2" s="6" t="n">
        <v>25</v>
      </c>
      <c r="H2" s="7" t="n">
        <v>2184.068878</v>
      </c>
    </row>
    <row r="3" customFormat="false" ht="15" hidden="false" customHeight="false" outlineLevel="0" collapsed="false">
      <c r="A3" s="8" t="s">
        <v>38</v>
      </c>
      <c r="B3" s="8" t="s">
        <v>39</v>
      </c>
      <c r="C3" s="8" t="s">
        <v>40</v>
      </c>
      <c r="D3" s="8" t="s">
        <v>41</v>
      </c>
      <c r="E3" s="8" t="s">
        <v>42</v>
      </c>
      <c r="F3" s="8" t="s">
        <v>43</v>
      </c>
      <c r="G3" s="6" t="n">
        <v>35</v>
      </c>
      <c r="H3" s="7" t="n">
        <v>26085.57404</v>
      </c>
    </row>
    <row r="4" customFormat="false" ht="15" hidden="false" customHeight="false" outlineLevel="0" collapsed="false">
      <c r="A4" s="8" t="s">
        <v>38</v>
      </c>
      <c r="B4" s="8" t="s">
        <v>39</v>
      </c>
      <c r="C4" s="8" t="s">
        <v>40</v>
      </c>
      <c r="D4" s="8" t="s">
        <v>41</v>
      </c>
      <c r="E4" s="8" t="s">
        <v>42</v>
      </c>
      <c r="F4" s="8" t="s">
        <v>43</v>
      </c>
      <c r="G4" s="6" t="n">
        <v>45</v>
      </c>
      <c r="H4" s="7" t="n">
        <v>35013.66681</v>
      </c>
    </row>
    <row r="5" customFormat="false" ht="15" hidden="false" customHeight="false" outlineLevel="0" collapsed="false">
      <c r="A5" s="8" t="s">
        <v>38</v>
      </c>
      <c r="B5" s="8" t="s">
        <v>39</v>
      </c>
      <c r="C5" s="8" t="s">
        <v>40</v>
      </c>
      <c r="D5" s="8" t="s">
        <v>41</v>
      </c>
      <c r="E5" s="8" t="s">
        <v>42</v>
      </c>
      <c r="F5" s="8" t="s">
        <v>43</v>
      </c>
      <c r="G5" s="6" t="n">
        <v>55</v>
      </c>
      <c r="H5" s="7" t="n">
        <v>30931.22745</v>
      </c>
    </row>
    <row r="6" customFormat="false" ht="15" hidden="false" customHeight="false" outlineLevel="0" collapsed="false">
      <c r="A6" s="8" t="s">
        <v>38</v>
      </c>
      <c r="B6" s="8" t="s">
        <v>39</v>
      </c>
      <c r="C6" s="8" t="s">
        <v>40</v>
      </c>
      <c r="D6" s="8" t="s">
        <v>41</v>
      </c>
      <c r="E6" s="8" t="s">
        <v>42</v>
      </c>
      <c r="F6" s="8" t="s">
        <v>43</v>
      </c>
      <c r="G6" s="6" t="n">
        <v>65</v>
      </c>
      <c r="H6" s="7" t="n">
        <v>11447.969</v>
      </c>
    </row>
    <row r="7" customFormat="false" ht="15" hidden="false" customHeight="false" outlineLevel="0" collapsed="false">
      <c r="A7" s="8" t="s">
        <v>38</v>
      </c>
      <c r="B7" s="8" t="s">
        <v>39</v>
      </c>
      <c r="C7" s="8" t="s">
        <v>40</v>
      </c>
      <c r="D7" s="8" t="s">
        <v>41</v>
      </c>
      <c r="E7" s="8" t="s">
        <v>44</v>
      </c>
      <c r="F7" s="8" t="s">
        <v>45</v>
      </c>
      <c r="G7" s="6" t="n">
        <v>35</v>
      </c>
      <c r="H7" s="7" t="n">
        <v>12354.66896</v>
      </c>
    </row>
    <row r="8" customFormat="false" ht="15" hidden="false" customHeight="false" outlineLevel="0" collapsed="false">
      <c r="A8" s="8" t="s">
        <v>38</v>
      </c>
      <c r="B8" s="8" t="s">
        <v>39</v>
      </c>
      <c r="C8" s="8" t="s">
        <v>40</v>
      </c>
      <c r="D8" s="8" t="s">
        <v>41</v>
      </c>
      <c r="E8" s="8" t="s">
        <v>44</v>
      </c>
      <c r="F8" s="8" t="s">
        <v>45</v>
      </c>
      <c r="G8" s="6" t="n">
        <v>45</v>
      </c>
      <c r="H8" s="7" t="n">
        <v>117488.2911</v>
      </c>
    </row>
    <row r="9" customFormat="false" ht="15" hidden="false" customHeight="false" outlineLevel="0" collapsed="false">
      <c r="A9" s="8" t="s">
        <v>38</v>
      </c>
      <c r="B9" s="8" t="s">
        <v>39</v>
      </c>
      <c r="C9" s="8" t="s">
        <v>40</v>
      </c>
      <c r="D9" s="8" t="s">
        <v>41</v>
      </c>
      <c r="E9" s="8" t="s">
        <v>44</v>
      </c>
      <c r="F9" s="8" t="s">
        <v>45</v>
      </c>
      <c r="G9" s="6" t="n">
        <v>55</v>
      </c>
      <c r="H9" s="7" t="n">
        <v>92190.10005</v>
      </c>
    </row>
    <row r="10" customFormat="false" ht="15" hidden="false" customHeight="false" outlineLevel="0" collapsed="false">
      <c r="A10" s="8" t="s">
        <v>38</v>
      </c>
      <c r="B10" s="8" t="s">
        <v>39</v>
      </c>
      <c r="C10" s="8" t="s">
        <v>40</v>
      </c>
      <c r="D10" s="8" t="s">
        <v>41</v>
      </c>
      <c r="E10" s="8" t="s">
        <v>44</v>
      </c>
      <c r="F10" s="8" t="s">
        <v>45</v>
      </c>
      <c r="G10" s="6" t="n">
        <v>65</v>
      </c>
      <c r="H10" s="7" t="n">
        <v>98951.67733</v>
      </c>
    </row>
    <row r="11" customFormat="false" ht="15" hidden="false" customHeight="false" outlineLevel="0" collapsed="false">
      <c r="A11" s="8" t="s">
        <v>38</v>
      </c>
      <c r="B11" s="8" t="s">
        <v>39</v>
      </c>
      <c r="C11" s="8" t="s">
        <v>40</v>
      </c>
      <c r="D11" s="8" t="s">
        <v>41</v>
      </c>
      <c r="E11" s="8" t="s">
        <v>44</v>
      </c>
      <c r="F11" s="8" t="s">
        <v>45</v>
      </c>
      <c r="G11" s="6" t="n">
        <v>75</v>
      </c>
      <c r="H11" s="7" t="n">
        <v>105329.2712</v>
      </c>
    </row>
    <row r="12" customFormat="false" ht="15" hidden="false" customHeight="false" outlineLevel="0" collapsed="false">
      <c r="A12" s="8" t="s">
        <v>38</v>
      </c>
      <c r="B12" s="8" t="s">
        <v>39</v>
      </c>
      <c r="C12" s="8" t="s">
        <v>40</v>
      </c>
      <c r="D12" s="8" t="s">
        <v>41</v>
      </c>
      <c r="E12" s="8" t="s">
        <v>46</v>
      </c>
      <c r="F12" s="8" t="s">
        <v>47</v>
      </c>
      <c r="G12" s="6" t="n">
        <v>25</v>
      </c>
      <c r="H12" s="7" t="n">
        <v>4114.20097</v>
      </c>
    </row>
    <row r="13" customFormat="false" ht="15" hidden="false" customHeight="false" outlineLevel="0" collapsed="false">
      <c r="A13" s="8" t="s">
        <v>38</v>
      </c>
      <c r="B13" s="8" t="s">
        <v>39</v>
      </c>
      <c r="C13" s="8" t="s">
        <v>40</v>
      </c>
      <c r="D13" s="8" t="s">
        <v>41</v>
      </c>
      <c r="E13" s="8" t="s">
        <v>46</v>
      </c>
      <c r="F13" s="8" t="s">
        <v>47</v>
      </c>
      <c r="G13" s="6" t="n">
        <v>35</v>
      </c>
      <c r="H13" s="7" t="n">
        <v>47291.21112</v>
      </c>
    </row>
    <row r="14" customFormat="false" ht="15" hidden="false" customHeight="false" outlineLevel="0" collapsed="false">
      <c r="A14" s="8" t="s">
        <v>38</v>
      </c>
      <c r="B14" s="8" t="s">
        <v>39</v>
      </c>
      <c r="C14" s="8" t="s">
        <v>40</v>
      </c>
      <c r="D14" s="8" t="s">
        <v>41</v>
      </c>
      <c r="E14" s="8" t="s">
        <v>46</v>
      </c>
      <c r="F14" s="8" t="s">
        <v>47</v>
      </c>
      <c r="G14" s="6" t="n">
        <v>45</v>
      </c>
      <c r="H14" s="7" t="n">
        <v>165884.8543</v>
      </c>
    </row>
    <row r="15" customFormat="false" ht="15" hidden="false" customHeight="false" outlineLevel="0" collapsed="false">
      <c r="A15" s="8" t="s">
        <v>38</v>
      </c>
      <c r="B15" s="8" t="s">
        <v>39</v>
      </c>
      <c r="C15" s="8" t="s">
        <v>40</v>
      </c>
      <c r="D15" s="8" t="s">
        <v>41</v>
      </c>
      <c r="E15" s="8" t="s">
        <v>46</v>
      </c>
      <c r="F15" s="8" t="s">
        <v>47</v>
      </c>
      <c r="G15" s="6" t="n">
        <v>55</v>
      </c>
      <c r="H15" s="7" t="n">
        <v>154722.4182</v>
      </c>
    </row>
    <row r="16" customFormat="false" ht="15" hidden="false" customHeight="false" outlineLevel="0" collapsed="false">
      <c r="A16" s="8" t="s">
        <v>38</v>
      </c>
      <c r="B16" s="8" t="s">
        <v>39</v>
      </c>
      <c r="C16" s="8" t="s">
        <v>40</v>
      </c>
      <c r="D16" s="8" t="s">
        <v>41</v>
      </c>
      <c r="E16" s="8" t="s">
        <v>46</v>
      </c>
      <c r="F16" s="8" t="s">
        <v>47</v>
      </c>
      <c r="G16" s="6" t="n">
        <v>65</v>
      </c>
      <c r="H16" s="7" t="n">
        <v>142198.0597</v>
      </c>
    </row>
    <row r="17" customFormat="false" ht="15" hidden="false" customHeight="false" outlineLevel="0" collapsed="false">
      <c r="A17" s="8" t="s">
        <v>38</v>
      </c>
      <c r="B17" s="8" t="s">
        <v>39</v>
      </c>
      <c r="C17" s="8" t="s">
        <v>40</v>
      </c>
      <c r="D17" s="8" t="s">
        <v>41</v>
      </c>
      <c r="E17" s="8" t="s">
        <v>46</v>
      </c>
      <c r="F17" s="8" t="s">
        <v>47</v>
      </c>
      <c r="G17" s="6" t="n">
        <v>75</v>
      </c>
      <c r="H17" s="7" t="n">
        <v>141176.0584</v>
      </c>
    </row>
    <row r="18" customFormat="false" ht="15" hidden="false" customHeight="false" outlineLevel="0" collapsed="false">
      <c r="A18" s="8" t="s">
        <v>38</v>
      </c>
      <c r="B18" s="8" t="s">
        <v>39</v>
      </c>
      <c r="C18" s="8" t="s">
        <v>40</v>
      </c>
      <c r="D18" s="8" t="s">
        <v>41</v>
      </c>
      <c r="E18" s="8" t="s">
        <v>48</v>
      </c>
      <c r="F18" s="8" t="s">
        <v>49</v>
      </c>
      <c r="G18" s="6" t="n">
        <v>25</v>
      </c>
      <c r="H18" s="7" t="n">
        <v>10931.64131</v>
      </c>
    </row>
    <row r="19" customFormat="false" ht="15" hidden="false" customHeight="false" outlineLevel="0" collapsed="false">
      <c r="A19" s="8" t="s">
        <v>38</v>
      </c>
      <c r="B19" s="8" t="s">
        <v>39</v>
      </c>
      <c r="C19" s="8" t="s">
        <v>40</v>
      </c>
      <c r="D19" s="8" t="s">
        <v>41</v>
      </c>
      <c r="E19" s="8" t="s">
        <v>48</v>
      </c>
      <c r="F19" s="8" t="s">
        <v>49</v>
      </c>
      <c r="G19" s="6" t="n">
        <v>35</v>
      </c>
      <c r="H19" s="7" t="n">
        <v>109269.2064</v>
      </c>
    </row>
    <row r="20" customFormat="false" ht="15" hidden="false" customHeight="false" outlineLevel="0" collapsed="false">
      <c r="A20" s="8" t="s">
        <v>38</v>
      </c>
      <c r="B20" s="8" t="s">
        <v>39</v>
      </c>
      <c r="C20" s="8" t="s">
        <v>40</v>
      </c>
      <c r="D20" s="8" t="s">
        <v>41</v>
      </c>
      <c r="E20" s="8" t="s">
        <v>48</v>
      </c>
      <c r="F20" s="8" t="s">
        <v>49</v>
      </c>
      <c r="G20" s="6" t="n">
        <v>45</v>
      </c>
      <c r="H20" s="7" t="n">
        <v>125484.3115</v>
      </c>
    </row>
    <row r="21" customFormat="false" ht="15" hidden="false" customHeight="false" outlineLevel="0" collapsed="false">
      <c r="A21" s="8" t="s">
        <v>38</v>
      </c>
      <c r="B21" s="8" t="s">
        <v>39</v>
      </c>
      <c r="C21" s="8" t="s">
        <v>40</v>
      </c>
      <c r="D21" s="8" t="s">
        <v>41</v>
      </c>
      <c r="E21" s="8" t="s">
        <v>48</v>
      </c>
      <c r="F21" s="8" t="s">
        <v>49</v>
      </c>
      <c r="G21" s="6" t="n">
        <v>55</v>
      </c>
      <c r="H21" s="7" t="n">
        <v>128893.4383</v>
      </c>
    </row>
    <row r="22" customFormat="false" ht="15" hidden="false" customHeight="false" outlineLevel="0" collapsed="false">
      <c r="A22" s="8" t="s">
        <v>38</v>
      </c>
      <c r="B22" s="8" t="s">
        <v>39</v>
      </c>
      <c r="C22" s="8" t="s">
        <v>40</v>
      </c>
      <c r="D22" s="8" t="s">
        <v>41</v>
      </c>
      <c r="E22" s="8" t="s">
        <v>48</v>
      </c>
      <c r="F22" s="8" t="s">
        <v>49</v>
      </c>
      <c r="G22" s="6" t="n">
        <v>65</v>
      </c>
      <c r="H22" s="7" t="n">
        <v>119162.6191</v>
      </c>
    </row>
    <row r="23" customFormat="false" ht="15" hidden="false" customHeight="false" outlineLevel="0" collapsed="false">
      <c r="A23" s="8" t="s">
        <v>38</v>
      </c>
      <c r="B23" s="8" t="s">
        <v>39</v>
      </c>
      <c r="C23" s="8" t="s">
        <v>40</v>
      </c>
      <c r="D23" s="8" t="s">
        <v>41</v>
      </c>
      <c r="E23" s="8" t="s">
        <v>50</v>
      </c>
      <c r="F23" s="8" t="s">
        <v>51</v>
      </c>
      <c r="G23" s="6" t="n">
        <v>25</v>
      </c>
      <c r="H23" s="7" t="n">
        <v>7931.566701</v>
      </c>
    </row>
    <row r="24" customFormat="false" ht="15" hidden="false" customHeight="false" outlineLevel="0" collapsed="false">
      <c r="A24" s="8" t="s">
        <v>38</v>
      </c>
      <c r="B24" s="8" t="s">
        <v>39</v>
      </c>
      <c r="C24" s="8" t="s">
        <v>40</v>
      </c>
      <c r="D24" s="8" t="s">
        <v>41</v>
      </c>
      <c r="E24" s="8" t="s">
        <v>50</v>
      </c>
      <c r="F24" s="8" t="s">
        <v>51</v>
      </c>
      <c r="G24" s="6" t="n">
        <v>35</v>
      </c>
      <c r="H24" s="7" t="n">
        <v>59476.58716</v>
      </c>
    </row>
    <row r="25" customFormat="false" ht="15" hidden="false" customHeight="false" outlineLevel="0" collapsed="false">
      <c r="A25" s="8" t="s">
        <v>38</v>
      </c>
      <c r="B25" s="8" t="s">
        <v>39</v>
      </c>
      <c r="C25" s="8" t="s">
        <v>40</v>
      </c>
      <c r="D25" s="8" t="s">
        <v>41</v>
      </c>
      <c r="E25" s="8" t="s">
        <v>50</v>
      </c>
      <c r="F25" s="8" t="s">
        <v>51</v>
      </c>
      <c r="G25" s="6" t="n">
        <v>45</v>
      </c>
      <c r="H25" s="7" t="n">
        <v>31427.24768</v>
      </c>
    </row>
    <row r="26" customFormat="false" ht="15" hidden="false" customHeight="false" outlineLevel="0" collapsed="false">
      <c r="A26" s="8" t="s">
        <v>38</v>
      </c>
      <c r="B26" s="8" t="s">
        <v>39</v>
      </c>
      <c r="C26" s="8" t="s">
        <v>40</v>
      </c>
      <c r="D26" s="8" t="s">
        <v>41</v>
      </c>
      <c r="E26" s="8" t="s">
        <v>50</v>
      </c>
      <c r="F26" s="8" t="s">
        <v>51</v>
      </c>
      <c r="G26" s="6" t="n">
        <v>55</v>
      </c>
      <c r="H26" s="7" t="n">
        <v>21793.58587</v>
      </c>
    </row>
    <row r="27" customFormat="false" ht="15" hidden="false" customHeight="false" outlineLevel="0" collapsed="false">
      <c r="A27" s="8" t="s">
        <v>38</v>
      </c>
      <c r="B27" s="8" t="s">
        <v>39</v>
      </c>
      <c r="C27" s="8" t="s">
        <v>40</v>
      </c>
      <c r="D27" s="8" t="s">
        <v>41</v>
      </c>
      <c r="E27" s="8" t="s">
        <v>50</v>
      </c>
      <c r="F27" s="8" t="s">
        <v>51</v>
      </c>
      <c r="G27" s="6" t="n">
        <v>65</v>
      </c>
      <c r="H27" s="7" t="n">
        <v>11941.02415</v>
      </c>
    </row>
    <row r="28" customFormat="false" ht="15" hidden="false" customHeight="false" outlineLevel="0" collapsed="false">
      <c r="A28" s="8" t="s">
        <v>38</v>
      </c>
      <c r="B28" s="8" t="s">
        <v>39</v>
      </c>
      <c r="C28" s="8" t="s">
        <v>40</v>
      </c>
      <c r="D28" s="8" t="s">
        <v>41</v>
      </c>
      <c r="E28" s="8" t="s">
        <v>52</v>
      </c>
      <c r="F28" s="8" t="s">
        <v>53</v>
      </c>
      <c r="G28" s="6" t="n">
        <v>25</v>
      </c>
      <c r="H28" s="7" t="n">
        <v>8123.757845</v>
      </c>
    </row>
    <row r="29" customFormat="false" ht="15" hidden="false" customHeight="false" outlineLevel="0" collapsed="false">
      <c r="A29" s="8" t="s">
        <v>38</v>
      </c>
      <c r="B29" s="8" t="s">
        <v>39</v>
      </c>
      <c r="C29" s="8" t="s">
        <v>40</v>
      </c>
      <c r="D29" s="8" t="s">
        <v>41</v>
      </c>
      <c r="E29" s="8" t="s">
        <v>52</v>
      </c>
      <c r="F29" s="8" t="s">
        <v>53</v>
      </c>
      <c r="G29" s="6" t="n">
        <v>35</v>
      </c>
      <c r="H29" s="7" t="n">
        <v>68386.5766</v>
      </c>
    </row>
    <row r="30" customFormat="false" ht="15" hidden="false" customHeight="false" outlineLevel="0" collapsed="false">
      <c r="A30" s="8" t="s">
        <v>38</v>
      </c>
      <c r="B30" s="8" t="s">
        <v>39</v>
      </c>
      <c r="C30" s="8" t="s">
        <v>40</v>
      </c>
      <c r="D30" s="8" t="s">
        <v>41</v>
      </c>
      <c r="E30" s="8" t="s">
        <v>52</v>
      </c>
      <c r="F30" s="8" t="s">
        <v>53</v>
      </c>
      <c r="G30" s="6" t="n">
        <v>45</v>
      </c>
      <c r="H30" s="7" t="n">
        <v>65832.27353</v>
      </c>
    </row>
    <row r="31" customFormat="false" ht="15" hidden="false" customHeight="false" outlineLevel="0" collapsed="false">
      <c r="A31" s="8" t="s">
        <v>38</v>
      </c>
      <c r="B31" s="8" t="s">
        <v>39</v>
      </c>
      <c r="C31" s="8" t="s">
        <v>40</v>
      </c>
      <c r="D31" s="8" t="s">
        <v>41</v>
      </c>
      <c r="E31" s="8" t="s">
        <v>52</v>
      </c>
      <c r="F31" s="8" t="s">
        <v>53</v>
      </c>
      <c r="G31" s="6" t="n">
        <v>55</v>
      </c>
      <c r="H31" s="7" t="n">
        <v>40840.30684</v>
      </c>
    </row>
    <row r="32" customFormat="false" ht="15" hidden="false" customHeight="false" outlineLevel="0" collapsed="false">
      <c r="A32" s="8" t="s">
        <v>38</v>
      </c>
      <c r="B32" s="8" t="s">
        <v>39</v>
      </c>
      <c r="C32" s="8" t="s">
        <v>40</v>
      </c>
      <c r="D32" s="8" t="s">
        <v>41</v>
      </c>
      <c r="E32" s="8" t="s">
        <v>52</v>
      </c>
      <c r="F32" s="8" t="s">
        <v>53</v>
      </c>
      <c r="G32" s="6" t="n">
        <v>65</v>
      </c>
      <c r="H32" s="7" t="n">
        <v>6105.797904</v>
      </c>
    </row>
    <row r="33" customFormat="false" ht="15" hidden="false" customHeight="false" outlineLevel="0" collapsed="false">
      <c r="A33" s="8" t="s">
        <v>38</v>
      </c>
      <c r="B33" s="8" t="s">
        <v>39</v>
      </c>
      <c r="C33" s="8" t="s">
        <v>40</v>
      </c>
      <c r="D33" s="8" t="s">
        <v>41</v>
      </c>
      <c r="E33" s="8" t="s">
        <v>54</v>
      </c>
      <c r="F33" s="8" t="s">
        <v>55</v>
      </c>
      <c r="G33" s="6" t="n">
        <v>35</v>
      </c>
      <c r="H33" s="7" t="n">
        <v>9.920000076</v>
      </c>
    </row>
    <row r="34" customFormat="false" ht="15" hidden="false" customHeight="false" outlineLevel="0" collapsed="false">
      <c r="A34" s="8" t="s">
        <v>38</v>
      </c>
      <c r="B34" s="8" t="s">
        <v>39</v>
      </c>
      <c r="C34" s="8" t="s">
        <v>40</v>
      </c>
      <c r="D34" s="8" t="s">
        <v>41</v>
      </c>
      <c r="E34" s="8" t="s">
        <v>54</v>
      </c>
      <c r="F34" s="8" t="s">
        <v>55</v>
      </c>
      <c r="G34" s="6" t="n">
        <v>45</v>
      </c>
      <c r="H34" s="7" t="n">
        <v>209.6819236</v>
      </c>
    </row>
    <row r="35" customFormat="false" ht="15" hidden="false" customHeight="false" outlineLevel="0" collapsed="false">
      <c r="A35" s="8" t="s">
        <v>38</v>
      </c>
      <c r="B35" s="8" t="s">
        <v>39</v>
      </c>
      <c r="C35" s="8" t="s">
        <v>40</v>
      </c>
      <c r="D35" s="8" t="s">
        <v>41</v>
      </c>
      <c r="E35" s="8" t="s">
        <v>54</v>
      </c>
      <c r="F35" s="8" t="s">
        <v>55</v>
      </c>
      <c r="G35" s="6" t="n">
        <v>55</v>
      </c>
      <c r="H35" s="7" t="n">
        <v>662.6645334</v>
      </c>
    </row>
    <row r="36" customFormat="false" ht="15" hidden="false" customHeight="false" outlineLevel="0" collapsed="false">
      <c r="A36" s="8" t="s">
        <v>38</v>
      </c>
      <c r="B36" s="8" t="s">
        <v>39</v>
      </c>
      <c r="C36" s="8" t="s">
        <v>40</v>
      </c>
      <c r="D36" s="8" t="s">
        <v>41</v>
      </c>
      <c r="E36" s="8" t="s">
        <v>54</v>
      </c>
      <c r="F36" s="8" t="s">
        <v>55</v>
      </c>
      <c r="G36" s="6" t="n">
        <v>65</v>
      </c>
      <c r="H36" s="7" t="n">
        <v>861.2551446</v>
      </c>
    </row>
    <row r="37" customFormat="false" ht="15" hidden="false" customHeight="false" outlineLevel="0" collapsed="false">
      <c r="A37" s="8" t="s">
        <v>38</v>
      </c>
      <c r="B37" s="8" t="s">
        <v>39</v>
      </c>
      <c r="C37" s="8" t="s">
        <v>40</v>
      </c>
      <c r="D37" s="8" t="s">
        <v>41</v>
      </c>
      <c r="E37" s="8" t="s">
        <v>54</v>
      </c>
      <c r="F37" s="8" t="s">
        <v>55</v>
      </c>
      <c r="G37" s="6" t="n">
        <v>75</v>
      </c>
      <c r="H37" s="7" t="n">
        <v>478.3667102</v>
      </c>
    </row>
    <row r="38" customFormat="false" ht="15" hidden="false" customHeight="false" outlineLevel="0" collapsed="false">
      <c r="A38" s="8" t="s">
        <v>38</v>
      </c>
      <c r="B38" s="8" t="s">
        <v>39</v>
      </c>
      <c r="C38" s="8" t="s">
        <v>40</v>
      </c>
      <c r="D38" s="8" t="s">
        <v>41</v>
      </c>
      <c r="E38" s="8" t="s">
        <v>56</v>
      </c>
      <c r="F38" s="8" t="s">
        <v>57</v>
      </c>
      <c r="G38" s="6" t="n">
        <v>35</v>
      </c>
      <c r="H38" s="7" t="n">
        <v>87.57999921</v>
      </c>
    </row>
    <row r="39" customFormat="false" ht="15" hidden="false" customHeight="false" outlineLevel="0" collapsed="false">
      <c r="A39" s="8" t="s">
        <v>38</v>
      </c>
      <c r="B39" s="8" t="s">
        <v>39</v>
      </c>
      <c r="C39" s="8" t="s">
        <v>40</v>
      </c>
      <c r="D39" s="8" t="s">
        <v>41</v>
      </c>
      <c r="E39" s="8" t="s">
        <v>56</v>
      </c>
      <c r="F39" s="8" t="s">
        <v>57</v>
      </c>
      <c r="G39" s="6" t="n">
        <v>45</v>
      </c>
      <c r="H39" s="7" t="n">
        <v>113.8000002</v>
      </c>
    </row>
    <row r="40" customFormat="false" ht="15" hidden="false" customHeight="false" outlineLevel="0" collapsed="false">
      <c r="A40" s="8" t="s">
        <v>38</v>
      </c>
      <c r="B40" s="8" t="s">
        <v>39</v>
      </c>
      <c r="C40" s="8" t="s">
        <v>40</v>
      </c>
      <c r="D40" s="8" t="s">
        <v>41</v>
      </c>
      <c r="E40" s="8" t="s">
        <v>56</v>
      </c>
      <c r="F40" s="8" t="s">
        <v>57</v>
      </c>
      <c r="G40" s="6" t="n">
        <v>55</v>
      </c>
      <c r="H40" s="7" t="n">
        <v>125.9199991</v>
      </c>
    </row>
    <row r="41" customFormat="false" ht="15" hidden="false" customHeight="false" outlineLevel="0" collapsed="false">
      <c r="A41" s="8" t="s">
        <v>38</v>
      </c>
      <c r="B41" s="8" t="s">
        <v>39</v>
      </c>
      <c r="C41" s="8" t="s">
        <v>40</v>
      </c>
      <c r="D41" s="8" t="s">
        <v>41</v>
      </c>
      <c r="E41" s="8" t="s">
        <v>56</v>
      </c>
      <c r="F41" s="8" t="s">
        <v>57</v>
      </c>
      <c r="G41" s="6" t="n">
        <v>65</v>
      </c>
      <c r="H41" s="7" t="n">
        <v>148.1300006</v>
      </c>
    </row>
    <row r="42" customFormat="false" ht="15" hidden="false" customHeight="false" outlineLevel="0" collapsed="false">
      <c r="A42" s="8" t="s">
        <v>38</v>
      </c>
      <c r="B42" s="8" t="s">
        <v>39</v>
      </c>
      <c r="C42" s="8" t="s">
        <v>58</v>
      </c>
      <c r="D42" s="8" t="s">
        <v>59</v>
      </c>
      <c r="E42" s="8" t="s">
        <v>42</v>
      </c>
      <c r="F42" s="8" t="s">
        <v>43</v>
      </c>
      <c r="G42" s="6" t="n">
        <v>85</v>
      </c>
      <c r="H42" s="7" t="n">
        <v>4189.03459</v>
      </c>
    </row>
    <row r="43" customFormat="false" ht="15" hidden="false" customHeight="false" outlineLevel="0" collapsed="false">
      <c r="A43" s="8" t="s">
        <v>38</v>
      </c>
      <c r="B43" s="8" t="s">
        <v>39</v>
      </c>
      <c r="C43" s="8" t="s">
        <v>58</v>
      </c>
      <c r="D43" s="8" t="s">
        <v>59</v>
      </c>
      <c r="E43" s="8" t="s">
        <v>42</v>
      </c>
      <c r="F43" s="8" t="s">
        <v>43</v>
      </c>
      <c r="G43" s="6" t="n">
        <v>95</v>
      </c>
      <c r="H43" s="7" t="n">
        <v>56421.61567</v>
      </c>
    </row>
    <row r="44" customFormat="false" ht="15" hidden="false" customHeight="false" outlineLevel="0" collapsed="false">
      <c r="A44" s="8" t="s">
        <v>38</v>
      </c>
      <c r="B44" s="8" t="s">
        <v>39</v>
      </c>
      <c r="C44" s="8" t="s">
        <v>58</v>
      </c>
      <c r="D44" s="8" t="s">
        <v>59</v>
      </c>
      <c r="E44" s="8" t="s">
        <v>42</v>
      </c>
      <c r="F44" s="8" t="s">
        <v>43</v>
      </c>
      <c r="G44" s="6" t="n">
        <v>105</v>
      </c>
      <c r="H44" s="7" t="n">
        <v>19232.10601</v>
      </c>
    </row>
    <row r="45" customFormat="false" ht="15" hidden="false" customHeight="false" outlineLevel="0" collapsed="false">
      <c r="A45" s="8" t="s">
        <v>38</v>
      </c>
      <c r="B45" s="8" t="s">
        <v>39</v>
      </c>
      <c r="C45" s="8" t="s">
        <v>58</v>
      </c>
      <c r="D45" s="8" t="s">
        <v>59</v>
      </c>
      <c r="E45" s="8" t="s">
        <v>42</v>
      </c>
      <c r="F45" s="8" t="s">
        <v>43</v>
      </c>
      <c r="G45" s="6" t="n">
        <v>115</v>
      </c>
      <c r="H45" s="7" t="n">
        <v>7363.763253</v>
      </c>
    </row>
    <row r="46" customFormat="false" ht="15" hidden="false" customHeight="false" outlineLevel="0" collapsed="false">
      <c r="A46" s="8" t="s">
        <v>38</v>
      </c>
      <c r="B46" s="8" t="s">
        <v>39</v>
      </c>
      <c r="C46" s="8" t="s">
        <v>58</v>
      </c>
      <c r="D46" s="8" t="s">
        <v>59</v>
      </c>
      <c r="E46" s="8" t="s">
        <v>42</v>
      </c>
      <c r="F46" s="8" t="s">
        <v>43</v>
      </c>
      <c r="G46" s="6" t="n">
        <v>125</v>
      </c>
      <c r="H46" s="7" t="n">
        <v>4532.928644</v>
      </c>
    </row>
    <row r="47" customFormat="false" ht="15" hidden="false" customHeight="false" outlineLevel="0" collapsed="false">
      <c r="A47" s="8" t="s">
        <v>38</v>
      </c>
      <c r="B47" s="8" t="s">
        <v>39</v>
      </c>
      <c r="C47" s="8" t="s">
        <v>58</v>
      </c>
      <c r="D47" s="8" t="s">
        <v>59</v>
      </c>
      <c r="E47" s="8" t="s">
        <v>42</v>
      </c>
      <c r="F47" s="8" t="s">
        <v>43</v>
      </c>
      <c r="G47" s="6" t="n">
        <v>135</v>
      </c>
      <c r="H47" s="7" t="n">
        <v>750.8508017</v>
      </c>
    </row>
    <row r="48" customFormat="false" ht="15" hidden="false" customHeight="false" outlineLevel="0" collapsed="false">
      <c r="A48" s="8" t="s">
        <v>38</v>
      </c>
      <c r="B48" s="8" t="s">
        <v>39</v>
      </c>
      <c r="C48" s="8" t="s">
        <v>58</v>
      </c>
      <c r="D48" s="8" t="s">
        <v>59</v>
      </c>
      <c r="E48" s="8" t="s">
        <v>42</v>
      </c>
      <c r="F48" s="8" t="s">
        <v>43</v>
      </c>
      <c r="G48" s="6" t="n">
        <v>145</v>
      </c>
      <c r="H48" s="7" t="n">
        <v>362.3819833</v>
      </c>
    </row>
    <row r="49" customFormat="false" ht="15" hidden="false" customHeight="false" outlineLevel="0" collapsed="false">
      <c r="A49" s="8" t="s">
        <v>38</v>
      </c>
      <c r="B49" s="8" t="s">
        <v>39</v>
      </c>
      <c r="C49" s="8" t="s">
        <v>58</v>
      </c>
      <c r="D49" s="8" t="s">
        <v>59</v>
      </c>
      <c r="E49" s="8" t="s">
        <v>42</v>
      </c>
      <c r="F49" s="8" t="s">
        <v>43</v>
      </c>
      <c r="G49" s="6" t="n">
        <v>155</v>
      </c>
      <c r="H49" s="7" t="n">
        <v>66.17072505</v>
      </c>
    </row>
    <row r="50" customFormat="false" ht="15" hidden="false" customHeight="false" outlineLevel="0" collapsed="false">
      <c r="A50" s="8" t="s">
        <v>38</v>
      </c>
      <c r="B50" s="8" t="s">
        <v>39</v>
      </c>
      <c r="C50" s="8" t="s">
        <v>58</v>
      </c>
      <c r="D50" s="8" t="s">
        <v>59</v>
      </c>
      <c r="E50" s="8" t="s">
        <v>42</v>
      </c>
      <c r="F50" s="8" t="s">
        <v>43</v>
      </c>
      <c r="G50" s="6" t="n">
        <v>165</v>
      </c>
      <c r="H50" s="7" t="n">
        <v>195.4999994</v>
      </c>
    </row>
    <row r="51" customFormat="false" ht="15" hidden="false" customHeight="false" outlineLevel="0" collapsed="false">
      <c r="A51" s="8" t="s">
        <v>38</v>
      </c>
      <c r="B51" s="8" t="s">
        <v>39</v>
      </c>
      <c r="C51" s="8" t="s">
        <v>58</v>
      </c>
      <c r="D51" s="8" t="s">
        <v>59</v>
      </c>
      <c r="E51" s="8" t="s">
        <v>42</v>
      </c>
      <c r="F51" s="8" t="s">
        <v>43</v>
      </c>
      <c r="G51" s="6" t="n">
        <v>175</v>
      </c>
      <c r="H51" s="7" t="n">
        <v>26.39999938</v>
      </c>
    </row>
    <row r="52" customFormat="false" ht="15" hidden="false" customHeight="false" outlineLevel="0" collapsed="false">
      <c r="A52" s="8" t="s">
        <v>38</v>
      </c>
      <c r="B52" s="8" t="s">
        <v>39</v>
      </c>
      <c r="C52" s="8" t="s">
        <v>58</v>
      </c>
      <c r="D52" s="8" t="s">
        <v>59</v>
      </c>
      <c r="E52" s="8" t="s">
        <v>42</v>
      </c>
      <c r="F52" s="8" t="s">
        <v>43</v>
      </c>
      <c r="G52" s="6" t="n">
        <v>185</v>
      </c>
      <c r="H52" s="7" t="n">
        <v>13.03999996</v>
      </c>
    </row>
    <row r="53" customFormat="false" ht="15" hidden="false" customHeight="false" outlineLevel="0" collapsed="false">
      <c r="A53" s="8" t="s">
        <v>38</v>
      </c>
      <c r="B53" s="8" t="s">
        <v>39</v>
      </c>
      <c r="C53" s="8" t="s">
        <v>58</v>
      </c>
      <c r="D53" s="8" t="s">
        <v>59</v>
      </c>
      <c r="E53" s="8" t="s">
        <v>44</v>
      </c>
      <c r="F53" s="8" t="s">
        <v>45</v>
      </c>
      <c r="G53" s="6" t="n">
        <v>115</v>
      </c>
      <c r="H53" s="7" t="n">
        <v>20536.6414</v>
      </c>
    </row>
    <row r="54" customFormat="false" ht="15" hidden="false" customHeight="false" outlineLevel="0" collapsed="false">
      <c r="A54" s="8" t="s">
        <v>38</v>
      </c>
      <c r="B54" s="8" t="s">
        <v>39</v>
      </c>
      <c r="C54" s="8" t="s">
        <v>58</v>
      </c>
      <c r="D54" s="8" t="s">
        <v>59</v>
      </c>
      <c r="E54" s="8" t="s">
        <v>44</v>
      </c>
      <c r="F54" s="8" t="s">
        <v>45</v>
      </c>
      <c r="G54" s="6" t="n">
        <v>125</v>
      </c>
      <c r="H54" s="7" t="n">
        <v>201019.3764</v>
      </c>
    </row>
    <row r="55" customFormat="false" ht="15" hidden="false" customHeight="false" outlineLevel="0" collapsed="false">
      <c r="A55" s="8" t="s">
        <v>38</v>
      </c>
      <c r="B55" s="8" t="s">
        <v>39</v>
      </c>
      <c r="C55" s="8" t="s">
        <v>58</v>
      </c>
      <c r="D55" s="8" t="s">
        <v>59</v>
      </c>
      <c r="E55" s="8" t="s">
        <v>44</v>
      </c>
      <c r="F55" s="8" t="s">
        <v>45</v>
      </c>
      <c r="G55" s="6" t="n">
        <v>135</v>
      </c>
      <c r="H55" s="7" t="n">
        <v>302610.9891</v>
      </c>
    </row>
    <row r="56" customFormat="false" ht="15" hidden="false" customHeight="false" outlineLevel="0" collapsed="false">
      <c r="A56" s="8" t="s">
        <v>38</v>
      </c>
      <c r="B56" s="8" t="s">
        <v>39</v>
      </c>
      <c r="C56" s="8" t="s">
        <v>58</v>
      </c>
      <c r="D56" s="8" t="s">
        <v>59</v>
      </c>
      <c r="E56" s="8" t="s">
        <v>44</v>
      </c>
      <c r="F56" s="8" t="s">
        <v>45</v>
      </c>
      <c r="G56" s="6" t="n">
        <v>145</v>
      </c>
      <c r="H56" s="7" t="n">
        <v>185466.8424</v>
      </c>
    </row>
    <row r="57" customFormat="false" ht="15" hidden="false" customHeight="false" outlineLevel="0" collapsed="false">
      <c r="A57" s="8" t="s">
        <v>38</v>
      </c>
      <c r="B57" s="8" t="s">
        <v>39</v>
      </c>
      <c r="C57" s="8" t="s">
        <v>58</v>
      </c>
      <c r="D57" s="8" t="s">
        <v>59</v>
      </c>
      <c r="E57" s="8" t="s">
        <v>44</v>
      </c>
      <c r="F57" s="8" t="s">
        <v>45</v>
      </c>
      <c r="G57" s="6" t="n">
        <v>155</v>
      </c>
      <c r="H57" s="7" t="n">
        <v>216412.9031</v>
      </c>
    </row>
    <row r="58" customFormat="false" ht="15" hidden="false" customHeight="false" outlineLevel="0" collapsed="false">
      <c r="A58" s="8" t="s">
        <v>38</v>
      </c>
      <c r="B58" s="8" t="s">
        <v>39</v>
      </c>
      <c r="C58" s="8" t="s">
        <v>58</v>
      </c>
      <c r="D58" s="8" t="s">
        <v>59</v>
      </c>
      <c r="E58" s="8" t="s">
        <v>44</v>
      </c>
      <c r="F58" s="8" t="s">
        <v>45</v>
      </c>
      <c r="G58" s="6" t="n">
        <v>165</v>
      </c>
      <c r="H58" s="7" t="n">
        <v>197079.9125</v>
      </c>
    </row>
    <row r="59" customFormat="false" ht="15" hidden="false" customHeight="false" outlineLevel="0" collapsed="false">
      <c r="A59" s="8" t="s">
        <v>38</v>
      </c>
      <c r="B59" s="8" t="s">
        <v>39</v>
      </c>
      <c r="C59" s="8" t="s">
        <v>58</v>
      </c>
      <c r="D59" s="8" t="s">
        <v>59</v>
      </c>
      <c r="E59" s="8" t="s">
        <v>44</v>
      </c>
      <c r="F59" s="8" t="s">
        <v>45</v>
      </c>
      <c r="G59" s="6" t="n">
        <v>175</v>
      </c>
      <c r="H59" s="7" t="n">
        <v>51131.37701</v>
      </c>
    </row>
    <row r="60" customFormat="false" ht="15" hidden="false" customHeight="false" outlineLevel="0" collapsed="false">
      <c r="A60" s="8" t="s">
        <v>38</v>
      </c>
      <c r="B60" s="8" t="s">
        <v>39</v>
      </c>
      <c r="C60" s="8" t="s">
        <v>58</v>
      </c>
      <c r="D60" s="8" t="s">
        <v>59</v>
      </c>
      <c r="E60" s="8" t="s">
        <v>44</v>
      </c>
      <c r="F60" s="8" t="s">
        <v>45</v>
      </c>
      <c r="G60" s="6" t="n">
        <v>185</v>
      </c>
      <c r="H60" s="7" t="n">
        <v>19251.49483</v>
      </c>
    </row>
    <row r="61" customFormat="false" ht="15" hidden="false" customHeight="false" outlineLevel="0" collapsed="false">
      <c r="A61" s="8" t="s">
        <v>38</v>
      </c>
      <c r="B61" s="8" t="s">
        <v>39</v>
      </c>
      <c r="C61" s="8" t="s">
        <v>58</v>
      </c>
      <c r="D61" s="8" t="s">
        <v>59</v>
      </c>
      <c r="E61" s="8" t="s">
        <v>46</v>
      </c>
      <c r="F61" s="8" t="s">
        <v>47</v>
      </c>
      <c r="G61" s="6" t="n">
        <v>105</v>
      </c>
      <c r="H61" s="7" t="n">
        <v>16283.47638</v>
      </c>
    </row>
    <row r="62" customFormat="false" ht="15" hidden="false" customHeight="false" outlineLevel="0" collapsed="false">
      <c r="A62" s="8" t="s">
        <v>38</v>
      </c>
      <c r="B62" s="8" t="s">
        <v>39</v>
      </c>
      <c r="C62" s="8" t="s">
        <v>58</v>
      </c>
      <c r="D62" s="8" t="s">
        <v>59</v>
      </c>
      <c r="E62" s="8" t="s">
        <v>46</v>
      </c>
      <c r="F62" s="8" t="s">
        <v>47</v>
      </c>
      <c r="G62" s="6" t="n">
        <v>115</v>
      </c>
      <c r="H62" s="7" t="n">
        <v>168741.1994</v>
      </c>
    </row>
    <row r="63" customFormat="false" ht="15" hidden="false" customHeight="false" outlineLevel="0" collapsed="false">
      <c r="A63" s="8" t="s">
        <v>38</v>
      </c>
      <c r="B63" s="8" t="s">
        <v>39</v>
      </c>
      <c r="C63" s="8" t="s">
        <v>58</v>
      </c>
      <c r="D63" s="8" t="s">
        <v>59</v>
      </c>
      <c r="E63" s="8" t="s">
        <v>46</v>
      </c>
      <c r="F63" s="8" t="s">
        <v>47</v>
      </c>
      <c r="G63" s="6" t="n">
        <v>125</v>
      </c>
      <c r="H63" s="7" t="n">
        <v>88122.41627</v>
      </c>
    </row>
    <row r="64" customFormat="false" ht="15" hidden="false" customHeight="false" outlineLevel="0" collapsed="false">
      <c r="A64" s="8" t="s">
        <v>38</v>
      </c>
      <c r="B64" s="8" t="s">
        <v>39</v>
      </c>
      <c r="C64" s="8" t="s">
        <v>58</v>
      </c>
      <c r="D64" s="8" t="s">
        <v>59</v>
      </c>
      <c r="E64" s="8" t="s">
        <v>46</v>
      </c>
      <c r="F64" s="8" t="s">
        <v>47</v>
      </c>
      <c r="G64" s="6" t="n">
        <v>135</v>
      </c>
      <c r="H64" s="7" t="n">
        <v>84060.70852</v>
      </c>
    </row>
    <row r="65" customFormat="false" ht="15" hidden="false" customHeight="false" outlineLevel="0" collapsed="false">
      <c r="A65" s="8" t="s">
        <v>38</v>
      </c>
      <c r="B65" s="8" t="s">
        <v>39</v>
      </c>
      <c r="C65" s="8" t="s">
        <v>58</v>
      </c>
      <c r="D65" s="8" t="s">
        <v>59</v>
      </c>
      <c r="E65" s="8" t="s">
        <v>46</v>
      </c>
      <c r="F65" s="8" t="s">
        <v>47</v>
      </c>
      <c r="G65" s="6" t="n">
        <v>145</v>
      </c>
      <c r="H65" s="7" t="n">
        <v>47737.89775</v>
      </c>
    </row>
    <row r="66" customFormat="false" ht="15" hidden="false" customHeight="false" outlineLevel="0" collapsed="false">
      <c r="A66" s="8" t="s">
        <v>38</v>
      </c>
      <c r="B66" s="8" t="s">
        <v>39</v>
      </c>
      <c r="C66" s="8" t="s">
        <v>58</v>
      </c>
      <c r="D66" s="8" t="s">
        <v>59</v>
      </c>
      <c r="E66" s="8" t="s">
        <v>46</v>
      </c>
      <c r="F66" s="8" t="s">
        <v>47</v>
      </c>
      <c r="G66" s="6" t="n">
        <v>155</v>
      </c>
      <c r="H66" s="7" t="n">
        <v>39229.13692</v>
      </c>
    </row>
    <row r="67" customFormat="false" ht="15" hidden="false" customHeight="false" outlineLevel="0" collapsed="false">
      <c r="A67" s="8" t="s">
        <v>38</v>
      </c>
      <c r="B67" s="8" t="s">
        <v>39</v>
      </c>
      <c r="C67" s="8" t="s">
        <v>58</v>
      </c>
      <c r="D67" s="8" t="s">
        <v>59</v>
      </c>
      <c r="E67" s="8" t="s">
        <v>46</v>
      </c>
      <c r="F67" s="8" t="s">
        <v>47</v>
      </c>
      <c r="G67" s="6" t="n">
        <v>165</v>
      </c>
      <c r="H67" s="7" t="n">
        <v>20714.38631</v>
      </c>
    </row>
    <row r="68" customFormat="false" ht="15" hidden="false" customHeight="false" outlineLevel="0" collapsed="false">
      <c r="A68" s="8" t="s">
        <v>38</v>
      </c>
      <c r="B68" s="8" t="s">
        <v>39</v>
      </c>
      <c r="C68" s="8" t="s">
        <v>58</v>
      </c>
      <c r="D68" s="8" t="s">
        <v>59</v>
      </c>
      <c r="E68" s="8" t="s">
        <v>46</v>
      </c>
      <c r="F68" s="8" t="s">
        <v>47</v>
      </c>
      <c r="G68" s="6" t="n">
        <v>175</v>
      </c>
      <c r="H68" s="7" t="n">
        <v>7478.269692</v>
      </c>
    </row>
    <row r="69" customFormat="false" ht="15" hidden="false" customHeight="false" outlineLevel="0" collapsed="false">
      <c r="A69" s="8" t="s">
        <v>38</v>
      </c>
      <c r="B69" s="8" t="s">
        <v>39</v>
      </c>
      <c r="C69" s="8" t="s">
        <v>58</v>
      </c>
      <c r="D69" s="8" t="s">
        <v>59</v>
      </c>
      <c r="E69" s="8" t="s">
        <v>46</v>
      </c>
      <c r="F69" s="8" t="s">
        <v>47</v>
      </c>
      <c r="G69" s="6" t="n">
        <v>185</v>
      </c>
      <c r="H69" s="7" t="n">
        <v>2404.223734</v>
      </c>
    </row>
    <row r="70" customFormat="false" ht="15" hidden="false" customHeight="false" outlineLevel="0" collapsed="false">
      <c r="A70" s="8" t="s">
        <v>38</v>
      </c>
      <c r="B70" s="8" t="s">
        <v>39</v>
      </c>
      <c r="C70" s="8" t="s">
        <v>58</v>
      </c>
      <c r="D70" s="8" t="s">
        <v>59</v>
      </c>
      <c r="E70" s="8" t="s">
        <v>48</v>
      </c>
      <c r="F70" s="8" t="s">
        <v>49</v>
      </c>
      <c r="G70" s="6" t="n">
        <v>95</v>
      </c>
      <c r="H70" s="7" t="n">
        <v>9733.859004</v>
      </c>
    </row>
    <row r="71" customFormat="false" ht="15" hidden="false" customHeight="false" outlineLevel="0" collapsed="false">
      <c r="A71" s="8" t="s">
        <v>38</v>
      </c>
      <c r="B71" s="8" t="s">
        <v>39</v>
      </c>
      <c r="C71" s="8" t="s">
        <v>58</v>
      </c>
      <c r="D71" s="8" t="s">
        <v>59</v>
      </c>
      <c r="E71" s="8" t="s">
        <v>48</v>
      </c>
      <c r="F71" s="8" t="s">
        <v>49</v>
      </c>
      <c r="G71" s="6" t="n">
        <v>105</v>
      </c>
      <c r="H71" s="7" t="n">
        <v>64950.51408</v>
      </c>
    </row>
    <row r="72" customFormat="false" ht="15" hidden="false" customHeight="false" outlineLevel="0" collapsed="false">
      <c r="A72" s="8" t="s">
        <v>38</v>
      </c>
      <c r="B72" s="8" t="s">
        <v>39</v>
      </c>
      <c r="C72" s="8" t="s">
        <v>58</v>
      </c>
      <c r="D72" s="8" t="s">
        <v>59</v>
      </c>
      <c r="E72" s="8" t="s">
        <v>48</v>
      </c>
      <c r="F72" s="8" t="s">
        <v>49</v>
      </c>
      <c r="G72" s="6" t="n">
        <v>115</v>
      </c>
      <c r="H72" s="7" t="n">
        <v>37756.38066</v>
      </c>
    </row>
    <row r="73" customFormat="false" ht="15" hidden="false" customHeight="false" outlineLevel="0" collapsed="false">
      <c r="A73" s="8" t="s">
        <v>38</v>
      </c>
      <c r="B73" s="8" t="s">
        <v>39</v>
      </c>
      <c r="C73" s="8" t="s">
        <v>58</v>
      </c>
      <c r="D73" s="8" t="s">
        <v>59</v>
      </c>
      <c r="E73" s="8" t="s">
        <v>48</v>
      </c>
      <c r="F73" s="8" t="s">
        <v>49</v>
      </c>
      <c r="G73" s="6" t="n">
        <v>125</v>
      </c>
      <c r="H73" s="7" t="n">
        <v>21890.65322</v>
      </c>
    </row>
    <row r="74" customFormat="false" ht="15" hidden="false" customHeight="false" outlineLevel="0" collapsed="false">
      <c r="A74" s="8" t="s">
        <v>38</v>
      </c>
      <c r="B74" s="8" t="s">
        <v>39</v>
      </c>
      <c r="C74" s="8" t="s">
        <v>58</v>
      </c>
      <c r="D74" s="8" t="s">
        <v>59</v>
      </c>
      <c r="E74" s="8" t="s">
        <v>48</v>
      </c>
      <c r="F74" s="8" t="s">
        <v>49</v>
      </c>
      <c r="G74" s="6" t="n">
        <v>135</v>
      </c>
      <c r="H74" s="7" t="n">
        <v>10898.15079</v>
      </c>
    </row>
    <row r="75" customFormat="false" ht="15" hidden="false" customHeight="false" outlineLevel="0" collapsed="false">
      <c r="A75" s="8" t="s">
        <v>38</v>
      </c>
      <c r="B75" s="8" t="s">
        <v>39</v>
      </c>
      <c r="C75" s="8" t="s">
        <v>58</v>
      </c>
      <c r="D75" s="8" t="s">
        <v>59</v>
      </c>
      <c r="E75" s="8" t="s">
        <v>48</v>
      </c>
      <c r="F75" s="8" t="s">
        <v>49</v>
      </c>
      <c r="G75" s="6" t="n">
        <v>145</v>
      </c>
      <c r="H75" s="7" t="n">
        <v>3955.891582</v>
      </c>
    </row>
    <row r="76" customFormat="false" ht="15" hidden="false" customHeight="false" outlineLevel="0" collapsed="false">
      <c r="A76" s="8" t="s">
        <v>38</v>
      </c>
      <c r="B76" s="8" t="s">
        <v>39</v>
      </c>
      <c r="C76" s="8" t="s">
        <v>58</v>
      </c>
      <c r="D76" s="8" t="s">
        <v>59</v>
      </c>
      <c r="E76" s="8" t="s">
        <v>48</v>
      </c>
      <c r="F76" s="8" t="s">
        <v>49</v>
      </c>
      <c r="G76" s="6" t="n">
        <v>155</v>
      </c>
      <c r="H76" s="7" t="n">
        <v>2280.251502</v>
      </c>
    </row>
    <row r="77" customFormat="false" ht="15" hidden="false" customHeight="false" outlineLevel="0" collapsed="false">
      <c r="A77" s="8" t="s">
        <v>38</v>
      </c>
      <c r="B77" s="8" t="s">
        <v>39</v>
      </c>
      <c r="C77" s="8" t="s">
        <v>58</v>
      </c>
      <c r="D77" s="8" t="s">
        <v>59</v>
      </c>
      <c r="E77" s="8" t="s">
        <v>48</v>
      </c>
      <c r="F77" s="8" t="s">
        <v>49</v>
      </c>
      <c r="G77" s="6" t="n">
        <v>165</v>
      </c>
      <c r="H77" s="7" t="n">
        <v>1225.001066</v>
      </c>
    </row>
    <row r="78" customFormat="false" ht="15" hidden="false" customHeight="false" outlineLevel="0" collapsed="false">
      <c r="A78" s="8" t="s">
        <v>38</v>
      </c>
      <c r="B78" s="8" t="s">
        <v>39</v>
      </c>
      <c r="C78" s="8" t="s">
        <v>58</v>
      </c>
      <c r="D78" s="8" t="s">
        <v>59</v>
      </c>
      <c r="E78" s="8" t="s">
        <v>48</v>
      </c>
      <c r="F78" s="8" t="s">
        <v>49</v>
      </c>
      <c r="G78" s="6" t="n">
        <v>175</v>
      </c>
      <c r="H78" s="7" t="n">
        <v>599.5510238</v>
      </c>
    </row>
    <row r="79" customFormat="false" ht="15" hidden="false" customHeight="false" outlineLevel="0" collapsed="false">
      <c r="A79" s="8" t="s">
        <v>38</v>
      </c>
      <c r="B79" s="8" t="s">
        <v>39</v>
      </c>
      <c r="C79" s="8" t="s">
        <v>58</v>
      </c>
      <c r="D79" s="8" t="s">
        <v>59</v>
      </c>
      <c r="E79" s="8" t="s">
        <v>48</v>
      </c>
      <c r="F79" s="8" t="s">
        <v>49</v>
      </c>
      <c r="G79" s="6" t="n">
        <v>185</v>
      </c>
      <c r="H79" s="7" t="n">
        <v>397.202563</v>
      </c>
    </row>
    <row r="80" customFormat="false" ht="15" hidden="false" customHeight="false" outlineLevel="0" collapsed="false">
      <c r="A80" s="8" t="s">
        <v>38</v>
      </c>
      <c r="B80" s="8" t="s">
        <v>39</v>
      </c>
      <c r="C80" s="8" t="s">
        <v>58</v>
      </c>
      <c r="D80" s="8" t="s">
        <v>59</v>
      </c>
      <c r="E80" s="8" t="s">
        <v>50</v>
      </c>
      <c r="F80" s="8" t="s">
        <v>51</v>
      </c>
      <c r="G80" s="6" t="n">
        <v>105</v>
      </c>
      <c r="H80" s="7" t="n">
        <v>596.4738723</v>
      </c>
    </row>
    <row r="81" customFormat="false" ht="15" hidden="false" customHeight="false" outlineLevel="0" collapsed="false">
      <c r="A81" s="8" t="s">
        <v>38</v>
      </c>
      <c r="B81" s="8" t="s">
        <v>39</v>
      </c>
      <c r="C81" s="8" t="s">
        <v>58</v>
      </c>
      <c r="D81" s="8" t="s">
        <v>59</v>
      </c>
      <c r="E81" s="8" t="s">
        <v>50</v>
      </c>
      <c r="F81" s="8" t="s">
        <v>51</v>
      </c>
      <c r="G81" s="6" t="n">
        <v>115</v>
      </c>
      <c r="H81" s="7" t="n">
        <v>4015.021795</v>
      </c>
    </row>
    <row r="82" customFormat="false" ht="15" hidden="false" customHeight="false" outlineLevel="0" collapsed="false">
      <c r="A82" s="8" t="s">
        <v>38</v>
      </c>
      <c r="B82" s="8" t="s">
        <v>39</v>
      </c>
      <c r="C82" s="8" t="s">
        <v>58</v>
      </c>
      <c r="D82" s="8" t="s">
        <v>59</v>
      </c>
      <c r="E82" s="8" t="s">
        <v>50</v>
      </c>
      <c r="F82" s="8" t="s">
        <v>51</v>
      </c>
      <c r="G82" s="6" t="n">
        <v>125</v>
      </c>
      <c r="H82" s="7" t="n">
        <v>1134.814621</v>
      </c>
    </row>
    <row r="83" customFormat="false" ht="15" hidden="false" customHeight="false" outlineLevel="0" collapsed="false">
      <c r="A83" s="8" t="s">
        <v>38</v>
      </c>
      <c r="B83" s="8" t="s">
        <v>39</v>
      </c>
      <c r="C83" s="8" t="s">
        <v>58</v>
      </c>
      <c r="D83" s="8" t="s">
        <v>59</v>
      </c>
      <c r="E83" s="8" t="s">
        <v>50</v>
      </c>
      <c r="F83" s="8" t="s">
        <v>51</v>
      </c>
      <c r="G83" s="6" t="n">
        <v>135</v>
      </c>
      <c r="H83" s="7" t="n">
        <v>680.7047982</v>
      </c>
    </row>
    <row r="84" customFormat="false" ht="15" hidden="false" customHeight="false" outlineLevel="0" collapsed="false">
      <c r="A84" s="8" t="s">
        <v>38</v>
      </c>
      <c r="B84" s="8" t="s">
        <v>39</v>
      </c>
      <c r="C84" s="8" t="s">
        <v>58</v>
      </c>
      <c r="D84" s="8" t="s">
        <v>59</v>
      </c>
      <c r="E84" s="8" t="s">
        <v>50</v>
      </c>
      <c r="F84" s="8" t="s">
        <v>51</v>
      </c>
      <c r="G84" s="6" t="n">
        <v>145</v>
      </c>
      <c r="H84" s="7" t="n">
        <v>295.7139473</v>
      </c>
    </row>
    <row r="85" customFormat="false" ht="15" hidden="false" customHeight="false" outlineLevel="0" collapsed="false">
      <c r="A85" s="8" t="s">
        <v>38</v>
      </c>
      <c r="B85" s="8" t="s">
        <v>39</v>
      </c>
      <c r="C85" s="8" t="s">
        <v>58</v>
      </c>
      <c r="D85" s="8" t="s">
        <v>59</v>
      </c>
      <c r="E85" s="8" t="s">
        <v>50</v>
      </c>
      <c r="F85" s="8" t="s">
        <v>51</v>
      </c>
      <c r="G85" s="6" t="n">
        <v>155</v>
      </c>
      <c r="H85" s="7" t="n">
        <v>98.02628106</v>
      </c>
    </row>
    <row r="86" customFormat="false" ht="15" hidden="false" customHeight="false" outlineLevel="0" collapsed="false">
      <c r="A86" s="8" t="s">
        <v>38</v>
      </c>
      <c r="B86" s="8" t="s">
        <v>39</v>
      </c>
      <c r="C86" s="8" t="s">
        <v>58</v>
      </c>
      <c r="D86" s="8" t="s">
        <v>59</v>
      </c>
      <c r="E86" s="8" t="s">
        <v>50</v>
      </c>
      <c r="F86" s="8" t="s">
        <v>51</v>
      </c>
      <c r="G86" s="6" t="n">
        <v>165</v>
      </c>
      <c r="H86" s="7" t="n">
        <v>3.720000029</v>
      </c>
    </row>
    <row r="87" customFormat="false" ht="15" hidden="false" customHeight="false" outlineLevel="0" collapsed="false">
      <c r="A87" s="8" t="s">
        <v>38</v>
      </c>
      <c r="B87" s="8" t="s">
        <v>39</v>
      </c>
      <c r="C87" s="8" t="s">
        <v>58</v>
      </c>
      <c r="D87" s="8" t="s">
        <v>59</v>
      </c>
      <c r="E87" s="8" t="s">
        <v>50</v>
      </c>
      <c r="F87" s="8" t="s">
        <v>51</v>
      </c>
      <c r="G87" s="6" t="n">
        <v>185</v>
      </c>
      <c r="H87" s="7" t="n">
        <v>8.180000305</v>
      </c>
    </row>
    <row r="88" customFormat="false" ht="15" hidden="false" customHeight="false" outlineLevel="0" collapsed="false">
      <c r="A88" s="8" t="s">
        <v>38</v>
      </c>
      <c r="B88" s="8" t="s">
        <v>39</v>
      </c>
      <c r="C88" s="8" t="s">
        <v>58</v>
      </c>
      <c r="D88" s="8" t="s">
        <v>59</v>
      </c>
      <c r="E88" s="8" t="s">
        <v>52</v>
      </c>
      <c r="F88" s="8" t="s">
        <v>53</v>
      </c>
      <c r="G88" s="6" t="n">
        <v>85</v>
      </c>
      <c r="H88" s="7" t="n">
        <v>12676.28685</v>
      </c>
    </row>
    <row r="89" customFormat="false" ht="15" hidden="false" customHeight="false" outlineLevel="0" collapsed="false">
      <c r="A89" s="8" t="s">
        <v>38</v>
      </c>
      <c r="B89" s="8" t="s">
        <v>39</v>
      </c>
      <c r="C89" s="8" t="s">
        <v>58</v>
      </c>
      <c r="D89" s="8" t="s">
        <v>59</v>
      </c>
      <c r="E89" s="8" t="s">
        <v>52</v>
      </c>
      <c r="F89" s="8" t="s">
        <v>53</v>
      </c>
      <c r="G89" s="6" t="n">
        <v>95</v>
      </c>
      <c r="H89" s="7" t="n">
        <v>84041.28903</v>
      </c>
    </row>
    <row r="90" customFormat="false" ht="15" hidden="false" customHeight="false" outlineLevel="0" collapsed="false">
      <c r="A90" s="8" t="s">
        <v>38</v>
      </c>
      <c r="B90" s="8" t="s">
        <v>39</v>
      </c>
      <c r="C90" s="8" t="s">
        <v>58</v>
      </c>
      <c r="D90" s="8" t="s">
        <v>59</v>
      </c>
      <c r="E90" s="8" t="s">
        <v>52</v>
      </c>
      <c r="F90" s="8" t="s">
        <v>53</v>
      </c>
      <c r="G90" s="6" t="n">
        <v>105</v>
      </c>
      <c r="H90" s="7" t="n">
        <v>35057.81444</v>
      </c>
    </row>
    <row r="91" customFormat="false" ht="15" hidden="false" customHeight="false" outlineLevel="0" collapsed="false">
      <c r="A91" s="8" t="s">
        <v>38</v>
      </c>
      <c r="B91" s="8" t="s">
        <v>39</v>
      </c>
      <c r="C91" s="8" t="s">
        <v>58</v>
      </c>
      <c r="D91" s="8" t="s">
        <v>59</v>
      </c>
      <c r="E91" s="8" t="s">
        <v>52</v>
      </c>
      <c r="F91" s="8" t="s">
        <v>53</v>
      </c>
      <c r="G91" s="6" t="n">
        <v>115</v>
      </c>
      <c r="H91" s="7" t="n">
        <v>17172.41763</v>
      </c>
    </row>
    <row r="92" customFormat="false" ht="15" hidden="false" customHeight="false" outlineLevel="0" collapsed="false">
      <c r="A92" s="8" t="s">
        <v>38</v>
      </c>
      <c r="B92" s="8" t="s">
        <v>39</v>
      </c>
      <c r="C92" s="8" t="s">
        <v>58</v>
      </c>
      <c r="D92" s="8" t="s">
        <v>59</v>
      </c>
      <c r="E92" s="8" t="s">
        <v>52</v>
      </c>
      <c r="F92" s="8" t="s">
        <v>53</v>
      </c>
      <c r="G92" s="6" t="n">
        <v>125</v>
      </c>
      <c r="H92" s="7" t="n">
        <v>15989.12361</v>
      </c>
    </row>
    <row r="93" customFormat="false" ht="15" hidden="false" customHeight="false" outlineLevel="0" collapsed="false">
      <c r="A93" s="8" t="s">
        <v>38</v>
      </c>
      <c r="B93" s="8" t="s">
        <v>39</v>
      </c>
      <c r="C93" s="8" t="s">
        <v>58</v>
      </c>
      <c r="D93" s="8" t="s">
        <v>59</v>
      </c>
      <c r="E93" s="8" t="s">
        <v>52</v>
      </c>
      <c r="F93" s="8" t="s">
        <v>53</v>
      </c>
      <c r="G93" s="6" t="n">
        <v>135</v>
      </c>
      <c r="H93" s="7" t="n">
        <v>2402.2577</v>
      </c>
    </row>
    <row r="94" customFormat="false" ht="15" hidden="false" customHeight="false" outlineLevel="0" collapsed="false">
      <c r="A94" s="8" t="s">
        <v>38</v>
      </c>
      <c r="B94" s="8" t="s">
        <v>39</v>
      </c>
      <c r="C94" s="8" t="s">
        <v>58</v>
      </c>
      <c r="D94" s="8" t="s">
        <v>59</v>
      </c>
      <c r="E94" s="8" t="s">
        <v>52</v>
      </c>
      <c r="F94" s="8" t="s">
        <v>53</v>
      </c>
      <c r="G94" s="6" t="n">
        <v>145</v>
      </c>
      <c r="H94" s="7" t="n">
        <v>725.7684533</v>
      </c>
    </row>
    <row r="95" customFormat="false" ht="15" hidden="false" customHeight="false" outlineLevel="0" collapsed="false">
      <c r="A95" s="8" t="s">
        <v>38</v>
      </c>
      <c r="B95" s="8" t="s">
        <v>39</v>
      </c>
      <c r="C95" s="8" t="s">
        <v>58</v>
      </c>
      <c r="D95" s="8" t="s">
        <v>59</v>
      </c>
      <c r="E95" s="8" t="s">
        <v>52</v>
      </c>
      <c r="F95" s="8" t="s">
        <v>53</v>
      </c>
      <c r="G95" s="6" t="n">
        <v>155</v>
      </c>
      <c r="H95" s="7" t="n">
        <v>237.6135297</v>
      </c>
    </row>
    <row r="96" customFormat="false" ht="15" hidden="false" customHeight="false" outlineLevel="0" collapsed="false">
      <c r="A96" s="8" t="s">
        <v>38</v>
      </c>
      <c r="B96" s="8" t="s">
        <v>39</v>
      </c>
      <c r="C96" s="8" t="s">
        <v>58</v>
      </c>
      <c r="D96" s="8" t="s">
        <v>59</v>
      </c>
      <c r="E96" s="8" t="s">
        <v>52</v>
      </c>
      <c r="F96" s="8" t="s">
        <v>53</v>
      </c>
      <c r="G96" s="6" t="n">
        <v>165</v>
      </c>
      <c r="H96" s="7" t="n">
        <v>725.0812312</v>
      </c>
    </row>
    <row r="97" customFormat="false" ht="15" hidden="false" customHeight="false" outlineLevel="0" collapsed="false">
      <c r="A97" s="8" t="s">
        <v>38</v>
      </c>
      <c r="B97" s="8" t="s">
        <v>39</v>
      </c>
      <c r="C97" s="8" t="s">
        <v>58</v>
      </c>
      <c r="D97" s="8" t="s">
        <v>59</v>
      </c>
      <c r="E97" s="8" t="s">
        <v>52</v>
      </c>
      <c r="F97" s="8" t="s">
        <v>53</v>
      </c>
      <c r="G97" s="6" t="n">
        <v>175</v>
      </c>
      <c r="H97" s="7" t="n">
        <v>101.7100019</v>
      </c>
    </row>
    <row r="98" customFormat="false" ht="15" hidden="false" customHeight="false" outlineLevel="0" collapsed="false">
      <c r="A98" s="8" t="s">
        <v>38</v>
      </c>
      <c r="B98" s="8" t="s">
        <v>39</v>
      </c>
      <c r="C98" s="8" t="s">
        <v>58</v>
      </c>
      <c r="D98" s="8" t="s">
        <v>59</v>
      </c>
      <c r="E98" s="8" t="s">
        <v>52</v>
      </c>
      <c r="F98" s="8" t="s">
        <v>53</v>
      </c>
      <c r="G98" s="6" t="n">
        <v>185</v>
      </c>
      <c r="H98" s="7" t="n">
        <v>164.0600042</v>
      </c>
    </row>
    <row r="99" customFormat="false" ht="15" hidden="false" customHeight="false" outlineLevel="0" collapsed="false">
      <c r="A99" s="8" t="s">
        <v>38</v>
      </c>
      <c r="B99" s="8" t="s">
        <v>39</v>
      </c>
      <c r="C99" s="8" t="s">
        <v>58</v>
      </c>
      <c r="D99" s="8" t="s">
        <v>59</v>
      </c>
      <c r="E99" s="8" t="s">
        <v>54</v>
      </c>
      <c r="F99" s="8" t="s">
        <v>55</v>
      </c>
      <c r="G99" s="6" t="n">
        <v>135</v>
      </c>
      <c r="H99" s="7" t="n">
        <v>670.3222226</v>
      </c>
    </row>
    <row r="100" customFormat="false" ht="15" hidden="false" customHeight="false" outlineLevel="0" collapsed="false">
      <c r="A100" s="8" t="s">
        <v>38</v>
      </c>
      <c r="B100" s="8" t="s">
        <v>39</v>
      </c>
      <c r="C100" s="8" t="s">
        <v>58</v>
      </c>
      <c r="D100" s="8" t="s">
        <v>59</v>
      </c>
      <c r="E100" s="8" t="s">
        <v>54</v>
      </c>
      <c r="F100" s="8" t="s">
        <v>55</v>
      </c>
      <c r="G100" s="6" t="n">
        <v>145</v>
      </c>
      <c r="H100" s="7" t="n">
        <v>845.5080022</v>
      </c>
    </row>
    <row r="101" customFormat="false" ht="15" hidden="false" customHeight="false" outlineLevel="0" collapsed="false">
      <c r="A101" s="8" t="s">
        <v>38</v>
      </c>
      <c r="B101" s="8" t="s">
        <v>39</v>
      </c>
      <c r="C101" s="8" t="s">
        <v>58</v>
      </c>
      <c r="D101" s="8" t="s">
        <v>59</v>
      </c>
      <c r="E101" s="8" t="s">
        <v>54</v>
      </c>
      <c r="F101" s="8" t="s">
        <v>55</v>
      </c>
      <c r="G101" s="6" t="n">
        <v>155</v>
      </c>
      <c r="H101" s="7" t="n">
        <v>239.7482615</v>
      </c>
    </row>
    <row r="102" customFormat="false" ht="15" hidden="false" customHeight="false" outlineLevel="0" collapsed="false">
      <c r="A102" s="8" t="s">
        <v>38</v>
      </c>
      <c r="B102" s="8" t="s">
        <v>39</v>
      </c>
      <c r="C102" s="8" t="s">
        <v>58</v>
      </c>
      <c r="D102" s="8" t="s">
        <v>59</v>
      </c>
      <c r="E102" s="8" t="s">
        <v>54</v>
      </c>
      <c r="F102" s="8" t="s">
        <v>55</v>
      </c>
      <c r="G102" s="6" t="n">
        <v>165</v>
      </c>
      <c r="H102" s="7" t="n">
        <v>590.3698324</v>
      </c>
    </row>
    <row r="103" customFormat="false" ht="15" hidden="false" customHeight="false" outlineLevel="0" collapsed="false">
      <c r="A103" s="8" t="s">
        <v>38</v>
      </c>
      <c r="B103" s="8" t="s">
        <v>39</v>
      </c>
      <c r="C103" s="8" t="s">
        <v>58</v>
      </c>
      <c r="D103" s="8" t="s">
        <v>59</v>
      </c>
      <c r="E103" s="8" t="s">
        <v>54</v>
      </c>
      <c r="F103" s="8" t="s">
        <v>55</v>
      </c>
      <c r="G103" s="6" t="n">
        <v>175</v>
      </c>
      <c r="H103" s="7" t="n">
        <v>46.78620388</v>
      </c>
    </row>
    <row r="104" customFormat="false" ht="15" hidden="false" customHeight="false" outlineLevel="0" collapsed="false">
      <c r="A104" s="8" t="s">
        <v>38</v>
      </c>
      <c r="B104" s="8" t="s">
        <v>39</v>
      </c>
      <c r="C104" s="8" t="s">
        <v>58</v>
      </c>
      <c r="D104" s="8" t="s">
        <v>59</v>
      </c>
      <c r="E104" s="8" t="s">
        <v>54</v>
      </c>
      <c r="F104" s="8" t="s">
        <v>55</v>
      </c>
      <c r="G104" s="6" t="n">
        <v>185</v>
      </c>
      <c r="H104" s="7" t="n">
        <v>42.87393838</v>
      </c>
    </row>
    <row r="105" customFormat="false" ht="15" hidden="false" customHeight="false" outlineLevel="0" collapsed="false">
      <c r="A105" s="8" t="s">
        <v>38</v>
      </c>
      <c r="B105" s="8" t="s">
        <v>39</v>
      </c>
      <c r="C105" s="8" t="s">
        <v>58</v>
      </c>
      <c r="D105" s="8" t="s">
        <v>59</v>
      </c>
      <c r="E105" s="8" t="s">
        <v>56</v>
      </c>
      <c r="F105" s="8" t="s">
        <v>57</v>
      </c>
      <c r="G105" s="6" t="n">
        <v>95</v>
      </c>
      <c r="H105" s="7" t="n">
        <v>26.90999985</v>
      </c>
    </row>
    <row r="106" customFormat="false" ht="15" hidden="false" customHeight="false" outlineLevel="0" collapsed="false">
      <c r="A106" s="8" t="s">
        <v>38</v>
      </c>
      <c r="B106" s="8" t="s">
        <v>39</v>
      </c>
      <c r="C106" s="8" t="s">
        <v>58</v>
      </c>
      <c r="D106" s="8" t="s">
        <v>59</v>
      </c>
      <c r="E106" s="8" t="s">
        <v>56</v>
      </c>
      <c r="F106" s="8" t="s">
        <v>57</v>
      </c>
      <c r="G106" s="6" t="n">
        <v>105</v>
      </c>
      <c r="H106" s="7" t="n">
        <v>43.40609789</v>
      </c>
    </row>
    <row r="107" customFormat="false" ht="15" hidden="false" customHeight="false" outlineLevel="0" collapsed="false">
      <c r="A107" s="8" t="s">
        <v>38</v>
      </c>
      <c r="B107" s="8" t="s">
        <v>39</v>
      </c>
      <c r="C107" s="8" t="s">
        <v>58</v>
      </c>
      <c r="D107" s="8" t="s">
        <v>59</v>
      </c>
      <c r="E107" s="8" t="s">
        <v>56</v>
      </c>
      <c r="F107" s="8" t="s">
        <v>57</v>
      </c>
      <c r="G107" s="6" t="n">
        <v>115</v>
      </c>
      <c r="H107" s="7" t="n">
        <v>42.24999857</v>
      </c>
    </row>
    <row r="108" customFormat="false" ht="15" hidden="false" customHeight="false" outlineLevel="0" collapsed="false">
      <c r="A108" s="8" t="s">
        <v>38</v>
      </c>
      <c r="B108" s="8" t="s">
        <v>39</v>
      </c>
      <c r="C108" s="8" t="s">
        <v>60</v>
      </c>
      <c r="D108" s="8" t="s">
        <v>61</v>
      </c>
      <c r="E108" s="8" t="s">
        <v>42</v>
      </c>
      <c r="F108" s="8" t="s">
        <v>43</v>
      </c>
      <c r="G108" s="6" t="n">
        <v>55</v>
      </c>
      <c r="H108" s="7" t="n">
        <v>3893.930389</v>
      </c>
    </row>
    <row r="109" customFormat="false" ht="15" hidden="false" customHeight="false" outlineLevel="0" collapsed="false">
      <c r="A109" s="8" t="s">
        <v>38</v>
      </c>
      <c r="B109" s="8" t="s">
        <v>39</v>
      </c>
      <c r="C109" s="8" t="s">
        <v>60</v>
      </c>
      <c r="D109" s="8" t="s">
        <v>61</v>
      </c>
      <c r="E109" s="8" t="s">
        <v>42</v>
      </c>
      <c r="F109" s="8" t="s">
        <v>43</v>
      </c>
      <c r="G109" s="6" t="n">
        <v>65</v>
      </c>
      <c r="H109" s="7" t="n">
        <v>48207.30526</v>
      </c>
    </row>
    <row r="110" customFormat="false" ht="15" hidden="false" customHeight="false" outlineLevel="0" collapsed="false">
      <c r="A110" s="8" t="s">
        <v>38</v>
      </c>
      <c r="B110" s="8" t="s">
        <v>39</v>
      </c>
      <c r="C110" s="8" t="s">
        <v>60</v>
      </c>
      <c r="D110" s="8" t="s">
        <v>61</v>
      </c>
      <c r="E110" s="8" t="s">
        <v>42</v>
      </c>
      <c r="F110" s="8" t="s">
        <v>43</v>
      </c>
      <c r="G110" s="6" t="n">
        <v>75</v>
      </c>
      <c r="H110" s="7" t="n">
        <v>110658.839</v>
      </c>
    </row>
    <row r="111" customFormat="false" ht="15" hidden="false" customHeight="false" outlineLevel="0" collapsed="false">
      <c r="A111" s="8" t="s">
        <v>38</v>
      </c>
      <c r="B111" s="8" t="s">
        <v>39</v>
      </c>
      <c r="C111" s="8" t="s">
        <v>60</v>
      </c>
      <c r="D111" s="8" t="s">
        <v>61</v>
      </c>
      <c r="E111" s="8" t="s">
        <v>42</v>
      </c>
      <c r="F111" s="8" t="s">
        <v>43</v>
      </c>
      <c r="G111" s="6" t="n">
        <v>85</v>
      </c>
      <c r="H111" s="7" t="n">
        <v>73665.96479</v>
      </c>
    </row>
    <row r="112" customFormat="false" ht="15" hidden="false" customHeight="false" outlineLevel="0" collapsed="false">
      <c r="A112" s="8" t="s">
        <v>38</v>
      </c>
      <c r="B112" s="8" t="s">
        <v>39</v>
      </c>
      <c r="C112" s="8" t="s">
        <v>60</v>
      </c>
      <c r="D112" s="8" t="s">
        <v>61</v>
      </c>
      <c r="E112" s="8" t="s">
        <v>42</v>
      </c>
      <c r="F112" s="8" t="s">
        <v>43</v>
      </c>
      <c r="G112" s="6" t="n">
        <v>95</v>
      </c>
      <c r="H112" s="7" t="n">
        <v>6092.577827</v>
      </c>
    </row>
    <row r="113" customFormat="false" ht="15" hidden="false" customHeight="false" outlineLevel="0" collapsed="false">
      <c r="A113" s="8" t="s">
        <v>38</v>
      </c>
      <c r="B113" s="8" t="s">
        <v>39</v>
      </c>
      <c r="C113" s="8" t="s">
        <v>60</v>
      </c>
      <c r="D113" s="8" t="s">
        <v>61</v>
      </c>
      <c r="E113" s="8" t="s">
        <v>44</v>
      </c>
      <c r="F113" s="8" t="s">
        <v>45</v>
      </c>
      <c r="G113" s="6" t="n">
        <v>75</v>
      </c>
      <c r="H113" s="7" t="n">
        <v>17482.74952</v>
      </c>
    </row>
    <row r="114" customFormat="false" ht="15" hidden="false" customHeight="false" outlineLevel="0" collapsed="false">
      <c r="A114" s="8" t="s">
        <v>38</v>
      </c>
      <c r="B114" s="8" t="s">
        <v>39</v>
      </c>
      <c r="C114" s="8" t="s">
        <v>60</v>
      </c>
      <c r="D114" s="8" t="s">
        <v>61</v>
      </c>
      <c r="E114" s="8" t="s">
        <v>44</v>
      </c>
      <c r="F114" s="8" t="s">
        <v>45</v>
      </c>
      <c r="G114" s="6" t="n">
        <v>85</v>
      </c>
      <c r="H114" s="7" t="n">
        <v>154230.1599</v>
      </c>
    </row>
    <row r="115" customFormat="false" ht="15" hidden="false" customHeight="false" outlineLevel="0" collapsed="false">
      <c r="A115" s="8" t="s">
        <v>38</v>
      </c>
      <c r="B115" s="8" t="s">
        <v>39</v>
      </c>
      <c r="C115" s="8" t="s">
        <v>60</v>
      </c>
      <c r="D115" s="8" t="s">
        <v>61</v>
      </c>
      <c r="E115" s="8" t="s">
        <v>44</v>
      </c>
      <c r="F115" s="8" t="s">
        <v>45</v>
      </c>
      <c r="G115" s="6" t="n">
        <v>95</v>
      </c>
      <c r="H115" s="7" t="n">
        <v>260109.7977</v>
      </c>
    </row>
    <row r="116" customFormat="false" ht="15" hidden="false" customHeight="false" outlineLevel="0" collapsed="false">
      <c r="A116" s="8" t="s">
        <v>38</v>
      </c>
      <c r="B116" s="8" t="s">
        <v>39</v>
      </c>
      <c r="C116" s="8" t="s">
        <v>60</v>
      </c>
      <c r="D116" s="8" t="s">
        <v>61</v>
      </c>
      <c r="E116" s="8" t="s">
        <v>44</v>
      </c>
      <c r="F116" s="8" t="s">
        <v>45</v>
      </c>
      <c r="G116" s="6" t="n">
        <v>105</v>
      </c>
      <c r="H116" s="7" t="n">
        <v>214939.6636</v>
      </c>
    </row>
    <row r="117" customFormat="false" ht="15" hidden="false" customHeight="false" outlineLevel="0" collapsed="false">
      <c r="A117" s="8" t="s">
        <v>38</v>
      </c>
      <c r="B117" s="8" t="s">
        <v>39</v>
      </c>
      <c r="C117" s="8" t="s">
        <v>60</v>
      </c>
      <c r="D117" s="8" t="s">
        <v>61</v>
      </c>
      <c r="E117" s="8" t="s">
        <v>44</v>
      </c>
      <c r="F117" s="8" t="s">
        <v>45</v>
      </c>
      <c r="G117" s="6" t="n">
        <v>115</v>
      </c>
      <c r="H117" s="7" t="n">
        <v>256247.0118</v>
      </c>
    </row>
    <row r="118" customFormat="false" ht="15" hidden="false" customHeight="false" outlineLevel="0" collapsed="false">
      <c r="A118" s="8" t="s">
        <v>38</v>
      </c>
      <c r="B118" s="8" t="s">
        <v>39</v>
      </c>
      <c r="C118" s="8" t="s">
        <v>60</v>
      </c>
      <c r="D118" s="8" t="s">
        <v>61</v>
      </c>
      <c r="E118" s="8" t="s">
        <v>46</v>
      </c>
      <c r="F118" s="8" t="s">
        <v>47</v>
      </c>
      <c r="G118" s="6" t="n">
        <v>65</v>
      </c>
      <c r="H118" s="7" t="n">
        <v>2117.139118</v>
      </c>
    </row>
    <row r="119" customFormat="false" ht="15" hidden="false" customHeight="false" outlineLevel="0" collapsed="false">
      <c r="A119" s="8" t="s">
        <v>38</v>
      </c>
      <c r="B119" s="8" t="s">
        <v>39</v>
      </c>
      <c r="C119" s="8" t="s">
        <v>60</v>
      </c>
      <c r="D119" s="8" t="s">
        <v>61</v>
      </c>
      <c r="E119" s="8" t="s">
        <v>46</v>
      </c>
      <c r="F119" s="8" t="s">
        <v>47</v>
      </c>
      <c r="G119" s="6" t="n">
        <v>75</v>
      </c>
      <c r="H119" s="7" t="n">
        <v>53391.58835</v>
      </c>
    </row>
    <row r="120" customFormat="false" ht="15" hidden="false" customHeight="false" outlineLevel="0" collapsed="false">
      <c r="A120" s="8" t="s">
        <v>38</v>
      </c>
      <c r="B120" s="8" t="s">
        <v>39</v>
      </c>
      <c r="C120" s="8" t="s">
        <v>60</v>
      </c>
      <c r="D120" s="8" t="s">
        <v>61</v>
      </c>
      <c r="E120" s="8" t="s">
        <v>46</v>
      </c>
      <c r="F120" s="8" t="s">
        <v>47</v>
      </c>
      <c r="G120" s="6" t="n">
        <v>85</v>
      </c>
      <c r="H120" s="7" t="n">
        <v>223397.5275</v>
      </c>
    </row>
    <row r="121" customFormat="false" ht="15" hidden="false" customHeight="false" outlineLevel="0" collapsed="false">
      <c r="A121" s="8" t="s">
        <v>38</v>
      </c>
      <c r="B121" s="8" t="s">
        <v>39</v>
      </c>
      <c r="C121" s="8" t="s">
        <v>60</v>
      </c>
      <c r="D121" s="8" t="s">
        <v>61</v>
      </c>
      <c r="E121" s="8" t="s">
        <v>46</v>
      </c>
      <c r="F121" s="8" t="s">
        <v>47</v>
      </c>
      <c r="G121" s="6" t="n">
        <v>95</v>
      </c>
      <c r="H121" s="7" t="n">
        <v>283146.8698</v>
      </c>
    </row>
    <row r="122" customFormat="false" ht="15" hidden="false" customHeight="false" outlineLevel="0" collapsed="false">
      <c r="A122" s="8" t="s">
        <v>38</v>
      </c>
      <c r="B122" s="8" t="s">
        <v>39</v>
      </c>
      <c r="C122" s="8" t="s">
        <v>60</v>
      </c>
      <c r="D122" s="8" t="s">
        <v>61</v>
      </c>
      <c r="E122" s="8" t="s">
        <v>46</v>
      </c>
      <c r="F122" s="8" t="s">
        <v>47</v>
      </c>
      <c r="G122" s="6" t="n">
        <v>105</v>
      </c>
      <c r="H122" s="7" t="n">
        <v>183890.7355</v>
      </c>
    </row>
    <row r="123" customFormat="false" ht="15" hidden="false" customHeight="false" outlineLevel="0" collapsed="false">
      <c r="A123" s="8" t="s">
        <v>38</v>
      </c>
      <c r="B123" s="8" t="s">
        <v>39</v>
      </c>
      <c r="C123" s="8" t="s">
        <v>60</v>
      </c>
      <c r="D123" s="8" t="s">
        <v>61</v>
      </c>
      <c r="E123" s="8" t="s">
        <v>48</v>
      </c>
      <c r="F123" s="8" t="s">
        <v>49</v>
      </c>
      <c r="G123" s="6" t="n">
        <v>65</v>
      </c>
      <c r="H123" s="7" t="n">
        <v>14584.17329</v>
      </c>
    </row>
    <row r="124" customFormat="false" ht="15" hidden="false" customHeight="false" outlineLevel="0" collapsed="false">
      <c r="A124" s="8" t="s">
        <v>38</v>
      </c>
      <c r="B124" s="8" t="s">
        <v>39</v>
      </c>
      <c r="C124" s="8" t="s">
        <v>60</v>
      </c>
      <c r="D124" s="8" t="s">
        <v>61</v>
      </c>
      <c r="E124" s="8" t="s">
        <v>48</v>
      </c>
      <c r="F124" s="8" t="s">
        <v>49</v>
      </c>
      <c r="G124" s="6" t="n">
        <v>75</v>
      </c>
      <c r="H124" s="7" t="n">
        <v>181028.7488</v>
      </c>
    </row>
    <row r="125" customFormat="false" ht="15" hidden="false" customHeight="false" outlineLevel="0" collapsed="false">
      <c r="A125" s="8" t="s">
        <v>38</v>
      </c>
      <c r="B125" s="8" t="s">
        <v>39</v>
      </c>
      <c r="C125" s="8" t="s">
        <v>60</v>
      </c>
      <c r="D125" s="8" t="s">
        <v>61</v>
      </c>
      <c r="E125" s="8" t="s">
        <v>48</v>
      </c>
      <c r="F125" s="8" t="s">
        <v>49</v>
      </c>
      <c r="G125" s="6" t="n">
        <v>85</v>
      </c>
      <c r="H125" s="7" t="n">
        <v>148720.0183</v>
      </c>
    </row>
    <row r="126" customFormat="false" ht="15" hidden="false" customHeight="false" outlineLevel="0" collapsed="false">
      <c r="A126" s="8" t="s">
        <v>38</v>
      </c>
      <c r="B126" s="8" t="s">
        <v>39</v>
      </c>
      <c r="C126" s="8" t="s">
        <v>60</v>
      </c>
      <c r="D126" s="8" t="s">
        <v>61</v>
      </c>
      <c r="E126" s="8" t="s">
        <v>48</v>
      </c>
      <c r="F126" s="8" t="s">
        <v>49</v>
      </c>
      <c r="G126" s="6" t="n">
        <v>95</v>
      </c>
      <c r="H126" s="7" t="n">
        <v>127116.2404</v>
      </c>
    </row>
    <row r="127" customFormat="false" ht="15" hidden="false" customHeight="false" outlineLevel="0" collapsed="false">
      <c r="A127" s="8" t="s">
        <v>38</v>
      </c>
      <c r="B127" s="8" t="s">
        <v>39</v>
      </c>
      <c r="C127" s="8" t="s">
        <v>60</v>
      </c>
      <c r="D127" s="8" t="s">
        <v>61</v>
      </c>
      <c r="E127" s="8" t="s">
        <v>50</v>
      </c>
      <c r="F127" s="8" t="s">
        <v>51</v>
      </c>
      <c r="G127" s="6" t="n">
        <v>65</v>
      </c>
      <c r="H127" s="7" t="n">
        <v>2321.683978</v>
      </c>
    </row>
    <row r="128" customFormat="false" ht="15" hidden="false" customHeight="false" outlineLevel="0" collapsed="false">
      <c r="A128" s="8" t="s">
        <v>38</v>
      </c>
      <c r="B128" s="8" t="s">
        <v>39</v>
      </c>
      <c r="C128" s="8" t="s">
        <v>60</v>
      </c>
      <c r="D128" s="8" t="s">
        <v>61</v>
      </c>
      <c r="E128" s="8" t="s">
        <v>50</v>
      </c>
      <c r="F128" s="8" t="s">
        <v>51</v>
      </c>
      <c r="G128" s="6" t="n">
        <v>75</v>
      </c>
      <c r="H128" s="7" t="n">
        <v>36739.20318</v>
      </c>
    </row>
    <row r="129" customFormat="false" ht="15" hidden="false" customHeight="false" outlineLevel="0" collapsed="false">
      <c r="A129" s="8" t="s">
        <v>38</v>
      </c>
      <c r="B129" s="8" t="s">
        <v>39</v>
      </c>
      <c r="C129" s="8" t="s">
        <v>60</v>
      </c>
      <c r="D129" s="8" t="s">
        <v>61</v>
      </c>
      <c r="E129" s="8" t="s">
        <v>50</v>
      </c>
      <c r="F129" s="8" t="s">
        <v>51</v>
      </c>
      <c r="G129" s="6" t="n">
        <v>85</v>
      </c>
      <c r="H129" s="7" t="n">
        <v>19842.34193</v>
      </c>
    </row>
    <row r="130" customFormat="false" ht="15" hidden="false" customHeight="false" outlineLevel="0" collapsed="false">
      <c r="A130" s="8" t="s">
        <v>38</v>
      </c>
      <c r="B130" s="8" t="s">
        <v>39</v>
      </c>
      <c r="C130" s="8" t="s">
        <v>60</v>
      </c>
      <c r="D130" s="8" t="s">
        <v>61</v>
      </c>
      <c r="E130" s="8" t="s">
        <v>50</v>
      </c>
      <c r="F130" s="8" t="s">
        <v>51</v>
      </c>
      <c r="G130" s="6" t="n">
        <v>95</v>
      </c>
      <c r="H130" s="7" t="n">
        <v>24494.14781</v>
      </c>
    </row>
    <row r="131" customFormat="false" ht="15" hidden="false" customHeight="false" outlineLevel="0" collapsed="false">
      <c r="A131" s="8" t="s">
        <v>38</v>
      </c>
      <c r="B131" s="8" t="s">
        <v>39</v>
      </c>
      <c r="C131" s="8" t="s">
        <v>60</v>
      </c>
      <c r="D131" s="8" t="s">
        <v>61</v>
      </c>
      <c r="E131" s="8" t="s">
        <v>50</v>
      </c>
      <c r="F131" s="8" t="s">
        <v>51</v>
      </c>
      <c r="G131" s="6" t="n">
        <v>105</v>
      </c>
      <c r="H131" s="7" t="n">
        <v>9496.791397</v>
      </c>
    </row>
    <row r="132" customFormat="false" ht="15" hidden="false" customHeight="false" outlineLevel="0" collapsed="false">
      <c r="A132" s="8" t="s">
        <v>38</v>
      </c>
      <c r="B132" s="8" t="s">
        <v>39</v>
      </c>
      <c r="C132" s="8" t="s">
        <v>60</v>
      </c>
      <c r="D132" s="8" t="s">
        <v>61</v>
      </c>
      <c r="E132" s="8" t="s">
        <v>52</v>
      </c>
      <c r="F132" s="8" t="s">
        <v>53</v>
      </c>
      <c r="G132" s="6" t="n">
        <v>55</v>
      </c>
      <c r="H132" s="7" t="n">
        <v>4152.517815</v>
      </c>
    </row>
    <row r="133" customFormat="false" ht="15" hidden="false" customHeight="false" outlineLevel="0" collapsed="false">
      <c r="A133" s="8" t="s">
        <v>38</v>
      </c>
      <c r="B133" s="8" t="s">
        <v>39</v>
      </c>
      <c r="C133" s="8" t="s">
        <v>60</v>
      </c>
      <c r="D133" s="8" t="s">
        <v>61</v>
      </c>
      <c r="E133" s="8" t="s">
        <v>52</v>
      </c>
      <c r="F133" s="8" t="s">
        <v>53</v>
      </c>
      <c r="G133" s="6" t="n">
        <v>65</v>
      </c>
      <c r="H133" s="7" t="n">
        <v>53944.72347</v>
      </c>
    </row>
    <row r="134" customFormat="false" ht="15" hidden="false" customHeight="false" outlineLevel="0" collapsed="false">
      <c r="A134" s="8" t="s">
        <v>38</v>
      </c>
      <c r="B134" s="8" t="s">
        <v>39</v>
      </c>
      <c r="C134" s="8" t="s">
        <v>60</v>
      </c>
      <c r="D134" s="8" t="s">
        <v>61</v>
      </c>
      <c r="E134" s="8" t="s">
        <v>52</v>
      </c>
      <c r="F134" s="8" t="s">
        <v>53</v>
      </c>
      <c r="G134" s="6" t="n">
        <v>75</v>
      </c>
      <c r="H134" s="7" t="n">
        <v>84244.88579</v>
      </c>
    </row>
    <row r="135" customFormat="false" ht="15" hidden="false" customHeight="false" outlineLevel="0" collapsed="false">
      <c r="A135" s="8" t="s">
        <v>38</v>
      </c>
      <c r="B135" s="8" t="s">
        <v>39</v>
      </c>
      <c r="C135" s="8" t="s">
        <v>60</v>
      </c>
      <c r="D135" s="8" t="s">
        <v>61</v>
      </c>
      <c r="E135" s="8" t="s">
        <v>52</v>
      </c>
      <c r="F135" s="8" t="s">
        <v>53</v>
      </c>
      <c r="G135" s="6" t="n">
        <v>85</v>
      </c>
      <c r="H135" s="7" t="n">
        <v>70486.13497</v>
      </c>
    </row>
    <row r="136" customFormat="false" ht="15" hidden="false" customHeight="false" outlineLevel="0" collapsed="false">
      <c r="A136" s="8" t="s">
        <v>38</v>
      </c>
      <c r="B136" s="8" t="s">
        <v>39</v>
      </c>
      <c r="C136" s="8" t="s">
        <v>60</v>
      </c>
      <c r="D136" s="8" t="s">
        <v>61</v>
      </c>
      <c r="E136" s="8" t="s">
        <v>52</v>
      </c>
      <c r="F136" s="8" t="s">
        <v>53</v>
      </c>
      <c r="G136" s="6" t="n">
        <v>95</v>
      </c>
      <c r="H136" s="7" t="n">
        <v>6622.648587</v>
      </c>
    </row>
    <row r="137" customFormat="false" ht="15" hidden="false" customHeight="false" outlineLevel="0" collapsed="false">
      <c r="A137" s="8" t="s">
        <v>38</v>
      </c>
      <c r="B137" s="8" t="s">
        <v>39</v>
      </c>
      <c r="C137" s="8" t="s">
        <v>60</v>
      </c>
      <c r="D137" s="8" t="s">
        <v>61</v>
      </c>
      <c r="E137" s="8" t="s">
        <v>54</v>
      </c>
      <c r="F137" s="8" t="s">
        <v>55</v>
      </c>
      <c r="G137" s="6" t="n">
        <v>75</v>
      </c>
      <c r="H137" s="7" t="n">
        <v>180.9000058</v>
      </c>
    </row>
    <row r="138" customFormat="false" ht="15" hidden="false" customHeight="false" outlineLevel="0" collapsed="false">
      <c r="A138" s="8" t="s">
        <v>38</v>
      </c>
      <c r="B138" s="8" t="s">
        <v>39</v>
      </c>
      <c r="C138" s="8" t="s">
        <v>60</v>
      </c>
      <c r="D138" s="8" t="s">
        <v>61</v>
      </c>
      <c r="E138" s="8" t="s">
        <v>54</v>
      </c>
      <c r="F138" s="8" t="s">
        <v>55</v>
      </c>
      <c r="G138" s="6" t="n">
        <v>85</v>
      </c>
      <c r="H138" s="7" t="n">
        <v>696.7850034</v>
      </c>
    </row>
    <row r="139" customFormat="false" ht="15" hidden="false" customHeight="false" outlineLevel="0" collapsed="false">
      <c r="A139" s="8" t="s">
        <v>38</v>
      </c>
      <c r="B139" s="8" t="s">
        <v>39</v>
      </c>
      <c r="C139" s="8" t="s">
        <v>60</v>
      </c>
      <c r="D139" s="8" t="s">
        <v>61</v>
      </c>
      <c r="E139" s="8" t="s">
        <v>54</v>
      </c>
      <c r="F139" s="8" t="s">
        <v>55</v>
      </c>
      <c r="G139" s="6" t="n">
        <v>95</v>
      </c>
      <c r="H139" s="7" t="n">
        <v>1914.479901</v>
      </c>
    </row>
    <row r="140" customFormat="false" ht="15" hidden="false" customHeight="false" outlineLevel="0" collapsed="false">
      <c r="A140" s="8" t="s">
        <v>38</v>
      </c>
      <c r="B140" s="8" t="s">
        <v>39</v>
      </c>
      <c r="C140" s="8" t="s">
        <v>60</v>
      </c>
      <c r="D140" s="8" t="s">
        <v>61</v>
      </c>
      <c r="E140" s="8" t="s">
        <v>54</v>
      </c>
      <c r="F140" s="8" t="s">
        <v>55</v>
      </c>
      <c r="G140" s="6" t="n">
        <v>105</v>
      </c>
      <c r="H140" s="7" t="n">
        <v>451.0842633</v>
      </c>
    </row>
    <row r="141" customFormat="false" ht="15" hidden="false" customHeight="false" outlineLevel="0" collapsed="false">
      <c r="A141" s="8" t="s">
        <v>38</v>
      </c>
      <c r="B141" s="8" t="s">
        <v>39</v>
      </c>
      <c r="C141" s="8" t="s">
        <v>60</v>
      </c>
      <c r="D141" s="8" t="s">
        <v>61</v>
      </c>
      <c r="E141" s="8" t="s">
        <v>54</v>
      </c>
      <c r="F141" s="8" t="s">
        <v>55</v>
      </c>
      <c r="G141" s="6" t="n">
        <v>115</v>
      </c>
      <c r="H141" s="7" t="n">
        <v>430.7050904</v>
      </c>
    </row>
    <row r="142" customFormat="false" ht="15" hidden="false" customHeight="false" outlineLevel="0" collapsed="false">
      <c r="A142" s="8" t="s">
        <v>38</v>
      </c>
      <c r="B142" s="8" t="s">
        <v>39</v>
      </c>
      <c r="C142" s="8" t="s">
        <v>60</v>
      </c>
      <c r="D142" s="8" t="s">
        <v>61</v>
      </c>
      <c r="E142" s="8" t="s">
        <v>54</v>
      </c>
      <c r="F142" s="8" t="s">
        <v>55</v>
      </c>
      <c r="G142" s="6" t="n">
        <v>125</v>
      </c>
      <c r="H142" s="7" t="n">
        <v>351.8437634</v>
      </c>
    </row>
    <row r="143" customFormat="false" ht="15" hidden="false" customHeight="false" outlineLevel="0" collapsed="false">
      <c r="A143" s="8" t="s">
        <v>38</v>
      </c>
      <c r="B143" s="8" t="s">
        <v>39</v>
      </c>
      <c r="C143" s="8" t="s">
        <v>60</v>
      </c>
      <c r="D143" s="8" t="s">
        <v>61</v>
      </c>
      <c r="E143" s="8" t="s">
        <v>56</v>
      </c>
      <c r="F143" s="8" t="s">
        <v>57</v>
      </c>
      <c r="G143" s="6" t="n">
        <v>75</v>
      </c>
      <c r="H143" s="7" t="n">
        <v>491.7500101</v>
      </c>
    </row>
    <row r="144" customFormat="false" ht="15" hidden="false" customHeight="false" outlineLevel="0" collapsed="false">
      <c r="A144" s="8" t="s">
        <v>38</v>
      </c>
      <c r="B144" s="8" t="s">
        <v>39</v>
      </c>
      <c r="C144" s="8" t="s">
        <v>60</v>
      </c>
      <c r="D144" s="8" t="s">
        <v>61</v>
      </c>
      <c r="E144" s="8" t="s">
        <v>56</v>
      </c>
      <c r="F144" s="8" t="s">
        <v>57</v>
      </c>
      <c r="G144" s="6" t="n">
        <v>85</v>
      </c>
      <c r="H144" s="7" t="n">
        <v>274.4024415</v>
      </c>
    </row>
    <row r="145" customFormat="false" ht="15" hidden="false" customHeight="false" outlineLevel="0" collapsed="false">
      <c r="A145" s="8" t="s">
        <v>38</v>
      </c>
      <c r="B145" s="8" t="s">
        <v>39</v>
      </c>
      <c r="C145" s="8" t="s">
        <v>60</v>
      </c>
      <c r="D145" s="8" t="s">
        <v>61</v>
      </c>
      <c r="E145" s="8" t="s">
        <v>56</v>
      </c>
      <c r="F145" s="8" t="s">
        <v>57</v>
      </c>
      <c r="G145" s="6" t="n">
        <v>95</v>
      </c>
      <c r="H145" s="7" t="n">
        <v>375.6790864</v>
      </c>
    </row>
    <row r="146" customFormat="false" ht="15" hidden="false" customHeight="false" outlineLevel="0" collapsed="false">
      <c r="A146" s="8" t="s">
        <v>38</v>
      </c>
      <c r="B146" s="8" t="s">
        <v>39</v>
      </c>
      <c r="C146" s="8" t="s">
        <v>62</v>
      </c>
      <c r="D146" s="8" t="s">
        <v>63</v>
      </c>
      <c r="E146" s="8" t="s">
        <v>42</v>
      </c>
      <c r="F146" s="8" t="s">
        <v>43</v>
      </c>
      <c r="G146" s="6" t="n">
        <v>5</v>
      </c>
      <c r="H146" s="7" t="n">
        <v>31926.90788</v>
      </c>
    </row>
    <row r="147" customFormat="false" ht="15" hidden="false" customHeight="false" outlineLevel="0" collapsed="false">
      <c r="A147" s="8" t="s">
        <v>38</v>
      </c>
      <c r="B147" s="8" t="s">
        <v>39</v>
      </c>
      <c r="C147" s="8" t="s">
        <v>62</v>
      </c>
      <c r="D147" s="8" t="s">
        <v>63</v>
      </c>
      <c r="E147" s="8" t="s">
        <v>44</v>
      </c>
      <c r="F147" s="8" t="s">
        <v>45</v>
      </c>
      <c r="G147" s="6" t="n">
        <v>5</v>
      </c>
      <c r="H147" s="7" t="n">
        <v>134474.9514</v>
      </c>
    </row>
    <row r="148" customFormat="false" ht="15" hidden="false" customHeight="false" outlineLevel="0" collapsed="false">
      <c r="A148" s="8" t="s">
        <v>38</v>
      </c>
      <c r="B148" s="8" t="s">
        <v>39</v>
      </c>
      <c r="C148" s="8" t="s">
        <v>62</v>
      </c>
      <c r="D148" s="8" t="s">
        <v>63</v>
      </c>
      <c r="E148" s="8" t="s">
        <v>44</v>
      </c>
      <c r="F148" s="8" t="s">
        <v>45</v>
      </c>
      <c r="G148" s="6" t="n">
        <v>15</v>
      </c>
      <c r="H148" s="7" t="n">
        <v>106283.9275</v>
      </c>
    </row>
    <row r="149" customFormat="false" ht="15" hidden="false" customHeight="false" outlineLevel="0" collapsed="false">
      <c r="A149" s="8" t="s">
        <v>38</v>
      </c>
      <c r="B149" s="8" t="s">
        <v>39</v>
      </c>
      <c r="C149" s="8" t="s">
        <v>62</v>
      </c>
      <c r="D149" s="8" t="s">
        <v>63</v>
      </c>
      <c r="E149" s="8" t="s">
        <v>46</v>
      </c>
      <c r="F149" s="8" t="s">
        <v>47</v>
      </c>
      <c r="G149" s="6" t="n">
        <v>5</v>
      </c>
      <c r="H149" s="7" t="n">
        <v>209735.4716</v>
      </c>
    </row>
    <row r="150" customFormat="false" ht="15" hidden="false" customHeight="false" outlineLevel="0" collapsed="false">
      <c r="A150" s="8" t="s">
        <v>38</v>
      </c>
      <c r="B150" s="8" t="s">
        <v>39</v>
      </c>
      <c r="C150" s="8" t="s">
        <v>62</v>
      </c>
      <c r="D150" s="8" t="s">
        <v>63</v>
      </c>
      <c r="E150" s="8" t="s">
        <v>46</v>
      </c>
      <c r="F150" s="8" t="s">
        <v>47</v>
      </c>
      <c r="G150" s="6" t="n">
        <v>15</v>
      </c>
      <c r="H150" s="7" t="n">
        <v>79517.33704</v>
      </c>
    </row>
    <row r="151" customFormat="false" ht="15" hidden="false" customHeight="false" outlineLevel="0" collapsed="false">
      <c r="A151" s="8" t="s">
        <v>38</v>
      </c>
      <c r="B151" s="8" t="s">
        <v>39</v>
      </c>
      <c r="C151" s="8" t="s">
        <v>62</v>
      </c>
      <c r="D151" s="8" t="s">
        <v>63</v>
      </c>
      <c r="E151" s="8" t="s">
        <v>48</v>
      </c>
      <c r="F151" s="8" t="s">
        <v>49</v>
      </c>
      <c r="G151" s="6" t="n">
        <v>5</v>
      </c>
      <c r="H151" s="7" t="n">
        <v>79605.95774</v>
      </c>
    </row>
    <row r="152" customFormat="false" ht="15" hidden="false" customHeight="false" outlineLevel="0" collapsed="false">
      <c r="A152" s="8" t="s">
        <v>38</v>
      </c>
      <c r="B152" s="8" t="s">
        <v>39</v>
      </c>
      <c r="C152" s="8" t="s">
        <v>62</v>
      </c>
      <c r="D152" s="8" t="s">
        <v>63</v>
      </c>
      <c r="E152" s="8" t="s">
        <v>50</v>
      </c>
      <c r="F152" s="8" t="s">
        <v>51</v>
      </c>
      <c r="G152" s="6" t="n">
        <v>5</v>
      </c>
      <c r="H152" s="7" t="n">
        <v>39071.80955</v>
      </c>
    </row>
    <row r="153" customFormat="false" ht="15" hidden="false" customHeight="false" outlineLevel="0" collapsed="false">
      <c r="A153" s="8" t="s">
        <v>38</v>
      </c>
      <c r="B153" s="8" t="s">
        <v>39</v>
      </c>
      <c r="C153" s="8" t="s">
        <v>62</v>
      </c>
      <c r="D153" s="8" t="s">
        <v>63</v>
      </c>
      <c r="E153" s="8" t="s">
        <v>52</v>
      </c>
      <c r="F153" s="8" t="s">
        <v>53</v>
      </c>
      <c r="G153" s="6" t="n">
        <v>5</v>
      </c>
      <c r="H153" s="7" t="n">
        <v>64765.72414</v>
      </c>
    </row>
    <row r="154" customFormat="false" ht="15" hidden="false" customHeight="false" outlineLevel="0" collapsed="false">
      <c r="A154" s="8" t="s">
        <v>38</v>
      </c>
      <c r="B154" s="8" t="s">
        <v>39</v>
      </c>
      <c r="C154" s="8" t="s">
        <v>62</v>
      </c>
      <c r="D154" s="8" t="s">
        <v>63</v>
      </c>
      <c r="E154" s="8" t="s">
        <v>54</v>
      </c>
      <c r="F154" s="8" t="s">
        <v>55</v>
      </c>
      <c r="G154" s="6" t="n">
        <v>5</v>
      </c>
      <c r="H154" s="7" t="n">
        <v>1748.504797</v>
      </c>
    </row>
    <row r="155" customFormat="false" ht="15" hidden="false" customHeight="false" outlineLevel="0" collapsed="false">
      <c r="A155" s="8" t="s">
        <v>38</v>
      </c>
      <c r="B155" s="8" t="s">
        <v>39</v>
      </c>
      <c r="C155" s="8" t="s">
        <v>62</v>
      </c>
      <c r="D155" s="8" t="s">
        <v>63</v>
      </c>
      <c r="E155" s="8" t="s">
        <v>54</v>
      </c>
      <c r="F155" s="8" t="s">
        <v>55</v>
      </c>
      <c r="G155" s="6" t="n">
        <v>15</v>
      </c>
      <c r="H155" s="7" t="n">
        <v>1037.546958</v>
      </c>
    </row>
    <row r="156" customFormat="false" ht="15" hidden="false" customHeight="false" outlineLevel="0" collapsed="false">
      <c r="A156" s="8" t="s">
        <v>38</v>
      </c>
      <c r="B156" s="8" t="s">
        <v>39</v>
      </c>
      <c r="C156" s="8" t="s">
        <v>62</v>
      </c>
      <c r="D156" s="8" t="s">
        <v>63</v>
      </c>
      <c r="E156" s="8" t="s">
        <v>56</v>
      </c>
      <c r="F156" s="8" t="s">
        <v>57</v>
      </c>
      <c r="G156" s="6" t="n">
        <v>5</v>
      </c>
      <c r="H156" s="7" t="n">
        <v>81.74359438</v>
      </c>
    </row>
    <row r="157" customFormat="false" ht="15" hidden="false" customHeight="false" outlineLevel="0" collapsed="false">
      <c r="A157" s="8" t="s">
        <v>38</v>
      </c>
      <c r="B157" s="8" t="s">
        <v>39</v>
      </c>
      <c r="C157" s="8" t="s">
        <v>64</v>
      </c>
      <c r="D157" s="8" t="s">
        <v>65</v>
      </c>
      <c r="E157" s="8" t="s">
        <v>42</v>
      </c>
      <c r="F157" s="8" t="s">
        <v>43</v>
      </c>
      <c r="G157" s="6" t="n">
        <v>5</v>
      </c>
      <c r="H157" s="7" t="n">
        <v>1892.396596</v>
      </c>
    </row>
    <row r="158" customFormat="false" ht="15" hidden="false" customHeight="false" outlineLevel="0" collapsed="false">
      <c r="A158" s="8" t="s">
        <v>38</v>
      </c>
      <c r="B158" s="8" t="s">
        <v>39</v>
      </c>
      <c r="C158" s="8" t="s">
        <v>64</v>
      </c>
      <c r="D158" s="8" t="s">
        <v>65</v>
      </c>
      <c r="E158" s="8" t="s">
        <v>42</v>
      </c>
      <c r="F158" s="8" t="s">
        <v>43</v>
      </c>
      <c r="G158" s="6" t="n">
        <v>15</v>
      </c>
      <c r="H158" s="7" t="n">
        <v>16515.94275</v>
      </c>
    </row>
    <row r="159" customFormat="false" ht="15" hidden="false" customHeight="false" outlineLevel="0" collapsed="false">
      <c r="A159" s="8" t="s">
        <v>38</v>
      </c>
      <c r="B159" s="8" t="s">
        <v>39</v>
      </c>
      <c r="C159" s="8" t="s">
        <v>64</v>
      </c>
      <c r="D159" s="8" t="s">
        <v>65</v>
      </c>
      <c r="E159" s="8" t="s">
        <v>42</v>
      </c>
      <c r="F159" s="8" t="s">
        <v>43</v>
      </c>
      <c r="G159" s="6" t="n">
        <v>25</v>
      </c>
      <c r="H159" s="7" t="n">
        <v>19393.93141</v>
      </c>
    </row>
    <row r="160" customFormat="false" ht="15" hidden="false" customHeight="false" outlineLevel="0" collapsed="false">
      <c r="A160" s="8" t="s">
        <v>38</v>
      </c>
      <c r="B160" s="8" t="s">
        <v>39</v>
      </c>
      <c r="C160" s="8" t="s">
        <v>64</v>
      </c>
      <c r="D160" s="8" t="s">
        <v>65</v>
      </c>
      <c r="E160" s="8" t="s">
        <v>44</v>
      </c>
      <c r="F160" s="8" t="s">
        <v>45</v>
      </c>
      <c r="G160" s="6" t="n">
        <v>15</v>
      </c>
      <c r="H160" s="7" t="n">
        <v>8451.303231</v>
      </c>
    </row>
    <row r="161" customFormat="false" ht="15" hidden="false" customHeight="false" outlineLevel="0" collapsed="false">
      <c r="A161" s="8" t="s">
        <v>38</v>
      </c>
      <c r="B161" s="8" t="s">
        <v>39</v>
      </c>
      <c r="C161" s="8" t="s">
        <v>64</v>
      </c>
      <c r="D161" s="8" t="s">
        <v>65</v>
      </c>
      <c r="E161" s="8" t="s">
        <v>44</v>
      </c>
      <c r="F161" s="8" t="s">
        <v>45</v>
      </c>
      <c r="G161" s="6" t="n">
        <v>25</v>
      </c>
      <c r="H161" s="7" t="n">
        <v>120525.2289</v>
      </c>
    </row>
    <row r="162" customFormat="false" ht="15" hidden="false" customHeight="false" outlineLevel="0" collapsed="false">
      <c r="A162" s="8" t="s">
        <v>38</v>
      </c>
      <c r="B162" s="8" t="s">
        <v>39</v>
      </c>
      <c r="C162" s="8" t="s">
        <v>64</v>
      </c>
      <c r="D162" s="8" t="s">
        <v>65</v>
      </c>
      <c r="E162" s="8" t="s">
        <v>44</v>
      </c>
      <c r="F162" s="8" t="s">
        <v>45</v>
      </c>
      <c r="G162" s="6" t="n">
        <v>35</v>
      </c>
      <c r="H162" s="7" t="n">
        <v>100764.9138</v>
      </c>
    </row>
    <row r="163" customFormat="false" ht="15" hidden="false" customHeight="false" outlineLevel="0" collapsed="false">
      <c r="A163" s="8" t="s">
        <v>38</v>
      </c>
      <c r="B163" s="8" t="s">
        <v>39</v>
      </c>
      <c r="C163" s="8" t="s">
        <v>64</v>
      </c>
      <c r="D163" s="8" t="s">
        <v>65</v>
      </c>
      <c r="E163" s="8" t="s">
        <v>46</v>
      </c>
      <c r="F163" s="8" t="s">
        <v>47</v>
      </c>
      <c r="G163" s="6" t="n">
        <v>5</v>
      </c>
      <c r="H163" s="7" t="n">
        <v>2249.124764</v>
      </c>
    </row>
    <row r="164" customFormat="false" ht="15" hidden="false" customHeight="false" outlineLevel="0" collapsed="false">
      <c r="A164" s="8" t="s">
        <v>38</v>
      </c>
      <c r="B164" s="8" t="s">
        <v>39</v>
      </c>
      <c r="C164" s="8" t="s">
        <v>64</v>
      </c>
      <c r="D164" s="8" t="s">
        <v>65</v>
      </c>
      <c r="E164" s="8" t="s">
        <v>46</v>
      </c>
      <c r="F164" s="8" t="s">
        <v>47</v>
      </c>
      <c r="G164" s="6" t="n">
        <v>15</v>
      </c>
      <c r="H164" s="7" t="n">
        <v>188364.6928</v>
      </c>
    </row>
    <row r="165" customFormat="false" ht="15" hidden="false" customHeight="false" outlineLevel="0" collapsed="false">
      <c r="A165" s="8" t="s">
        <v>38</v>
      </c>
      <c r="B165" s="8" t="s">
        <v>39</v>
      </c>
      <c r="C165" s="8" t="s">
        <v>64</v>
      </c>
      <c r="D165" s="8" t="s">
        <v>65</v>
      </c>
      <c r="E165" s="8" t="s">
        <v>46</v>
      </c>
      <c r="F165" s="8" t="s">
        <v>47</v>
      </c>
      <c r="G165" s="6" t="n">
        <v>25</v>
      </c>
      <c r="H165" s="7" t="n">
        <v>320677.8524</v>
      </c>
    </row>
    <row r="166" customFormat="false" ht="15" hidden="false" customHeight="false" outlineLevel="0" collapsed="false">
      <c r="A166" s="8" t="s">
        <v>38</v>
      </c>
      <c r="B166" s="8" t="s">
        <v>39</v>
      </c>
      <c r="C166" s="8" t="s">
        <v>64</v>
      </c>
      <c r="D166" s="8" t="s">
        <v>65</v>
      </c>
      <c r="E166" s="8" t="s">
        <v>46</v>
      </c>
      <c r="F166" s="8" t="s">
        <v>47</v>
      </c>
      <c r="G166" s="6" t="n">
        <v>35</v>
      </c>
      <c r="H166" s="7" t="n">
        <v>189245.0984</v>
      </c>
    </row>
    <row r="167" customFormat="false" ht="15" hidden="false" customHeight="false" outlineLevel="0" collapsed="false">
      <c r="A167" s="8" t="s">
        <v>38</v>
      </c>
      <c r="B167" s="8" t="s">
        <v>39</v>
      </c>
      <c r="C167" s="8" t="s">
        <v>64</v>
      </c>
      <c r="D167" s="8" t="s">
        <v>65</v>
      </c>
      <c r="E167" s="8" t="s">
        <v>48</v>
      </c>
      <c r="F167" s="8" t="s">
        <v>49</v>
      </c>
      <c r="G167" s="6" t="n">
        <v>5</v>
      </c>
      <c r="H167" s="7" t="n">
        <v>4846.850017</v>
      </c>
    </row>
    <row r="168" customFormat="false" ht="15" hidden="false" customHeight="false" outlineLevel="0" collapsed="false">
      <c r="A168" s="8" t="s">
        <v>38</v>
      </c>
      <c r="B168" s="8" t="s">
        <v>39</v>
      </c>
      <c r="C168" s="8" t="s">
        <v>64</v>
      </c>
      <c r="D168" s="8" t="s">
        <v>65</v>
      </c>
      <c r="E168" s="8" t="s">
        <v>48</v>
      </c>
      <c r="F168" s="8" t="s">
        <v>49</v>
      </c>
      <c r="G168" s="6" t="n">
        <v>15</v>
      </c>
      <c r="H168" s="7" t="n">
        <v>50586.89107</v>
      </c>
    </row>
    <row r="169" customFormat="false" ht="15" hidden="false" customHeight="false" outlineLevel="0" collapsed="false">
      <c r="A169" s="8" t="s">
        <v>38</v>
      </c>
      <c r="B169" s="8" t="s">
        <v>39</v>
      </c>
      <c r="C169" s="8" t="s">
        <v>64</v>
      </c>
      <c r="D169" s="8" t="s">
        <v>65</v>
      </c>
      <c r="E169" s="8" t="s">
        <v>48</v>
      </c>
      <c r="F169" s="8" t="s">
        <v>49</v>
      </c>
      <c r="G169" s="6" t="n">
        <v>25</v>
      </c>
      <c r="H169" s="7" t="n">
        <v>90015.4281</v>
      </c>
    </row>
    <row r="170" customFormat="false" ht="15" hidden="false" customHeight="false" outlineLevel="0" collapsed="false">
      <c r="A170" s="8" t="s">
        <v>38</v>
      </c>
      <c r="B170" s="8" t="s">
        <v>39</v>
      </c>
      <c r="C170" s="8" t="s">
        <v>64</v>
      </c>
      <c r="D170" s="8" t="s">
        <v>65</v>
      </c>
      <c r="E170" s="8" t="s">
        <v>50</v>
      </c>
      <c r="F170" s="8" t="s">
        <v>51</v>
      </c>
      <c r="G170" s="6" t="n">
        <v>5</v>
      </c>
      <c r="H170" s="7" t="n">
        <v>3845.734211</v>
      </c>
    </row>
    <row r="171" customFormat="false" ht="15" hidden="false" customHeight="false" outlineLevel="0" collapsed="false">
      <c r="A171" s="8" t="s">
        <v>38</v>
      </c>
      <c r="B171" s="8" t="s">
        <v>39</v>
      </c>
      <c r="C171" s="8" t="s">
        <v>64</v>
      </c>
      <c r="D171" s="8" t="s">
        <v>65</v>
      </c>
      <c r="E171" s="8" t="s">
        <v>50</v>
      </c>
      <c r="F171" s="8" t="s">
        <v>51</v>
      </c>
      <c r="G171" s="6" t="n">
        <v>15</v>
      </c>
      <c r="H171" s="7" t="n">
        <v>72486.10776</v>
      </c>
    </row>
    <row r="172" customFormat="false" ht="15" hidden="false" customHeight="false" outlineLevel="0" collapsed="false">
      <c r="A172" s="8" t="s">
        <v>38</v>
      </c>
      <c r="B172" s="8" t="s">
        <v>39</v>
      </c>
      <c r="C172" s="8" t="s">
        <v>64</v>
      </c>
      <c r="D172" s="8" t="s">
        <v>65</v>
      </c>
      <c r="E172" s="8" t="s">
        <v>50</v>
      </c>
      <c r="F172" s="8" t="s">
        <v>51</v>
      </c>
      <c r="G172" s="6" t="n">
        <v>25</v>
      </c>
      <c r="H172" s="7" t="n">
        <v>80014.21406</v>
      </c>
    </row>
    <row r="173" customFormat="false" ht="15" hidden="false" customHeight="false" outlineLevel="0" collapsed="false">
      <c r="A173" s="8" t="s">
        <v>38</v>
      </c>
      <c r="B173" s="8" t="s">
        <v>39</v>
      </c>
      <c r="C173" s="8" t="s">
        <v>64</v>
      </c>
      <c r="D173" s="8" t="s">
        <v>65</v>
      </c>
      <c r="E173" s="8" t="s">
        <v>52</v>
      </c>
      <c r="F173" s="8" t="s">
        <v>53</v>
      </c>
      <c r="G173" s="6" t="n">
        <v>5</v>
      </c>
      <c r="H173" s="7" t="n">
        <v>5981.243812</v>
      </c>
    </row>
    <row r="174" customFormat="false" ht="15" hidden="false" customHeight="false" outlineLevel="0" collapsed="false">
      <c r="A174" s="8" t="s">
        <v>38</v>
      </c>
      <c r="B174" s="8" t="s">
        <v>39</v>
      </c>
      <c r="C174" s="8" t="s">
        <v>64</v>
      </c>
      <c r="D174" s="8" t="s">
        <v>65</v>
      </c>
      <c r="E174" s="8" t="s">
        <v>52</v>
      </c>
      <c r="F174" s="8" t="s">
        <v>53</v>
      </c>
      <c r="G174" s="6" t="n">
        <v>15</v>
      </c>
      <c r="H174" s="7" t="n">
        <v>96280.87483</v>
      </c>
    </row>
    <row r="175" customFormat="false" ht="15" hidden="false" customHeight="false" outlineLevel="0" collapsed="false">
      <c r="A175" s="8" t="s">
        <v>38</v>
      </c>
      <c r="B175" s="8" t="s">
        <v>39</v>
      </c>
      <c r="C175" s="8" t="s">
        <v>64</v>
      </c>
      <c r="D175" s="8" t="s">
        <v>65</v>
      </c>
      <c r="E175" s="8" t="s">
        <v>52</v>
      </c>
      <c r="F175" s="8" t="s">
        <v>53</v>
      </c>
      <c r="G175" s="6" t="n">
        <v>25</v>
      </c>
      <c r="H175" s="7" t="n">
        <v>93559.98764</v>
      </c>
    </row>
    <row r="176" customFormat="false" ht="15" hidden="false" customHeight="false" outlineLevel="0" collapsed="false">
      <c r="A176" s="8" t="s">
        <v>38</v>
      </c>
      <c r="B176" s="8" t="s">
        <v>39</v>
      </c>
      <c r="C176" s="8" t="s">
        <v>64</v>
      </c>
      <c r="D176" s="8" t="s">
        <v>65</v>
      </c>
      <c r="E176" s="8" t="s">
        <v>54</v>
      </c>
      <c r="F176" s="8" t="s">
        <v>55</v>
      </c>
      <c r="G176" s="6" t="n">
        <v>15</v>
      </c>
      <c r="H176" s="7" t="n">
        <v>1144.577203</v>
      </c>
    </row>
    <row r="177" customFormat="false" ht="15" hidden="false" customHeight="false" outlineLevel="0" collapsed="false">
      <c r="A177" s="8" t="s">
        <v>38</v>
      </c>
      <c r="B177" s="8" t="s">
        <v>39</v>
      </c>
      <c r="C177" s="8" t="s">
        <v>64</v>
      </c>
      <c r="D177" s="8" t="s">
        <v>65</v>
      </c>
      <c r="E177" s="8" t="s">
        <v>54</v>
      </c>
      <c r="F177" s="8" t="s">
        <v>55</v>
      </c>
      <c r="G177" s="6" t="n">
        <v>25</v>
      </c>
      <c r="H177" s="7" t="n">
        <v>747.1054938</v>
      </c>
    </row>
    <row r="178" customFormat="false" ht="15" hidden="false" customHeight="false" outlineLevel="0" collapsed="false">
      <c r="A178" s="8" t="s">
        <v>38</v>
      </c>
      <c r="B178" s="8" t="s">
        <v>39</v>
      </c>
      <c r="C178" s="8" t="s">
        <v>64</v>
      </c>
      <c r="D178" s="8" t="s">
        <v>65</v>
      </c>
      <c r="E178" s="8" t="s">
        <v>54</v>
      </c>
      <c r="F178" s="8" t="s">
        <v>55</v>
      </c>
      <c r="G178" s="6" t="n">
        <v>35</v>
      </c>
      <c r="H178" s="7" t="n">
        <v>288.1199988</v>
      </c>
    </row>
    <row r="179" customFormat="false" ht="15" hidden="false" customHeight="false" outlineLevel="0" collapsed="false">
      <c r="A179" s="8" t="s">
        <v>38</v>
      </c>
      <c r="B179" s="8" t="s">
        <v>39</v>
      </c>
      <c r="C179" s="8" t="s">
        <v>64</v>
      </c>
      <c r="D179" s="8" t="s">
        <v>65</v>
      </c>
      <c r="E179" s="8" t="s">
        <v>56</v>
      </c>
      <c r="F179" s="8" t="s">
        <v>57</v>
      </c>
      <c r="G179" s="6" t="n">
        <v>15</v>
      </c>
      <c r="H179" s="7" t="n">
        <v>16.74999976</v>
      </c>
    </row>
    <row r="180" customFormat="false" ht="15" hidden="false" customHeight="false" outlineLevel="0" collapsed="false">
      <c r="A180" s="8" t="s">
        <v>38</v>
      </c>
      <c r="B180" s="8" t="s">
        <v>39</v>
      </c>
      <c r="C180" s="8" t="s">
        <v>64</v>
      </c>
      <c r="D180" s="8" t="s">
        <v>65</v>
      </c>
      <c r="E180" s="8" t="s">
        <v>56</v>
      </c>
      <c r="F180" s="8" t="s">
        <v>57</v>
      </c>
      <c r="G180" s="6" t="n">
        <v>25</v>
      </c>
      <c r="H180" s="7" t="n">
        <v>3.74000001</v>
      </c>
    </row>
  </sheetData>
  <autoFilter ref="A1:H1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3" min="3" style="0" width="42"/>
  </cols>
  <sheetData>
    <row r="1" customFormat="false" ht="17.35" hidden="false" customHeight="false" outlineLevel="0" collapsed="false">
      <c r="A1" s="1" t="s">
        <v>66</v>
      </c>
      <c r="B1" s="1"/>
      <c r="C1" s="1"/>
    </row>
    <row r="2" customFormat="false" ht="15" hidden="false" customHeight="false" outlineLevel="0" collapsed="false">
      <c r="A2" s="2" t="s">
        <v>67</v>
      </c>
      <c r="B2" s="2"/>
      <c r="C2" s="2"/>
    </row>
    <row r="4" customFormat="false" ht="25.5" hidden="false" customHeight="true" outlineLevel="0" collapsed="false">
      <c r="A4" s="5" t="s">
        <v>68</v>
      </c>
      <c r="B4" s="5" t="s">
        <v>69</v>
      </c>
      <c r="C4" s="5" t="s">
        <v>70</v>
      </c>
    </row>
    <row r="5" customFormat="false" ht="39.75" hidden="false" customHeight="true" outlineLevel="0" collapsed="false">
      <c r="A5" s="9" t="s">
        <v>71</v>
      </c>
      <c r="B5" s="10" t="s">
        <v>72</v>
      </c>
      <c r="C5" s="9" t="s">
        <v>73</v>
      </c>
    </row>
    <row r="6" customFormat="false" ht="39.75" hidden="false" customHeight="true" outlineLevel="0" collapsed="false">
      <c r="A6" s="9" t="s">
        <v>74</v>
      </c>
      <c r="B6" s="10" t="s">
        <v>75</v>
      </c>
      <c r="C6" s="9" t="s">
        <v>76</v>
      </c>
    </row>
    <row r="7" customFormat="false" ht="39.75" hidden="false" customHeight="true" outlineLevel="0" collapsed="false">
      <c r="A7" s="9" t="s">
        <v>77</v>
      </c>
      <c r="B7" s="10" t="s">
        <v>78</v>
      </c>
      <c r="C7" s="9" t="s">
        <v>79</v>
      </c>
    </row>
    <row r="8" customFormat="false" ht="39.75" hidden="false" customHeight="true" outlineLevel="0" collapsed="false">
      <c r="A8" s="9" t="s">
        <v>80</v>
      </c>
      <c r="B8" s="10" t="s">
        <v>81</v>
      </c>
      <c r="C8" s="9" t="s">
        <v>82</v>
      </c>
    </row>
    <row r="9" customFormat="false" ht="39.75" hidden="false" customHeight="true" outlineLevel="0" collapsed="false">
      <c r="A9" s="9" t="s">
        <v>83</v>
      </c>
      <c r="B9" s="10" t="s">
        <v>84</v>
      </c>
      <c r="C9" s="9" t="s">
        <v>85</v>
      </c>
    </row>
    <row r="10" customFormat="false" ht="39.75" hidden="false" customHeight="true" outlineLevel="0" collapsed="false">
      <c r="A10" s="9" t="s">
        <v>86</v>
      </c>
      <c r="B10" s="10" t="s">
        <v>87</v>
      </c>
      <c r="C10" s="9" t="s">
        <v>88</v>
      </c>
    </row>
    <row r="11" customFormat="false" ht="39.75" hidden="false" customHeight="true" outlineLevel="0" collapsed="false">
      <c r="A11" s="9" t="s">
        <v>89</v>
      </c>
      <c r="B11" s="10" t="s">
        <v>90</v>
      </c>
      <c r="C11" s="9" t="s">
        <v>91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0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92</v>
      </c>
      <c r="B1" s="1"/>
      <c r="C1" s="1"/>
    </row>
    <row r="2" customFormat="false" ht="15" hidden="false" customHeight="false" outlineLevel="0" collapsed="false">
      <c r="A2" s="2" t="s">
        <v>93</v>
      </c>
      <c r="B2" s="2"/>
      <c r="C2" s="2"/>
    </row>
    <row r="4" customFormat="false" ht="15" hidden="false" customHeight="false" outlineLevel="0" collapsed="false">
      <c r="A4" s="5" t="s">
        <v>94</v>
      </c>
      <c r="B4" s="5" t="s">
        <v>95</v>
      </c>
      <c r="C4" s="5" t="s">
        <v>96</v>
      </c>
    </row>
    <row r="5" customFormat="false" ht="25.5" hidden="false" customHeight="true" outlineLevel="0" collapsed="false">
      <c r="A5" s="9" t="s">
        <v>97</v>
      </c>
      <c r="B5" s="11" t="s">
        <v>98</v>
      </c>
      <c r="C5" s="12" t="n">
        <f aca="false">SUM(BC_Data!$H$2:$H$38)</f>
        <v>8264063.55</v>
      </c>
    </row>
    <row r="6" customFormat="false" ht="25.5" hidden="false" customHeight="true" outlineLevel="0" collapsed="false">
      <c r="A6" s="9" t="s">
        <v>99</v>
      </c>
      <c r="B6" s="11" t="s">
        <v>100</v>
      </c>
      <c r="C6" s="12" t="n">
        <f aca="false">AVERAGE(BC_Data!$G$2:$G$38)</f>
        <v>228088.512467568</v>
      </c>
    </row>
    <row r="7" customFormat="false" ht="25.5" hidden="false" customHeight="true" outlineLevel="0" collapsed="false">
      <c r="A7" s="9" t="s">
        <v>101</v>
      </c>
      <c r="B7" s="11" t="s">
        <v>102</v>
      </c>
      <c r="C7" s="12" t="n">
        <f aca="false">MAX(BC_Data!$F$2:$F$38)</f>
        <v>218275.3</v>
      </c>
    </row>
    <row r="8" customFormat="false" ht="25.5" hidden="false" customHeight="true" outlineLevel="0" collapsed="false">
      <c r="A8" s="9" t="s">
        <v>103</v>
      </c>
      <c r="B8" s="11" t="s">
        <v>104</v>
      </c>
      <c r="C8" s="12" t="n">
        <f aca="false">MIN(BC_Data!$F$2:$F$38)</f>
        <v>1448.1</v>
      </c>
    </row>
    <row r="9" customFormat="false" ht="25.5" hidden="false" customHeight="true" outlineLevel="0" collapsed="false">
      <c r="A9" s="9" t="s">
        <v>105</v>
      </c>
      <c r="B9" s="11" t="s">
        <v>106</v>
      </c>
      <c r="C9" s="12" t="n">
        <f aca="false">MEDIAN(BC_Data!$G$2:$G$38)</f>
        <v>224146.7448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6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107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108</v>
      </c>
      <c r="B2" s="2"/>
      <c r="C2" s="2"/>
      <c r="D2" s="2"/>
      <c r="E2" s="2"/>
      <c r="F2" s="2"/>
      <c r="G2" s="2"/>
    </row>
    <row r="4" customFormat="false" ht="27.75" hidden="false" customHeight="true" outlineLevel="0" collapsed="false">
      <c r="A4" s="5" t="s">
        <v>109</v>
      </c>
      <c r="B4" s="5" t="s">
        <v>63</v>
      </c>
      <c r="C4" s="5" t="s">
        <v>65</v>
      </c>
      <c r="D4" s="5" t="s">
        <v>41</v>
      </c>
      <c r="E4" s="5" t="s">
        <v>61</v>
      </c>
      <c r="F4" s="5" t="s">
        <v>59</v>
      </c>
      <c r="G4" s="5" t="s">
        <v>110</v>
      </c>
    </row>
    <row r="5" customFormat="false" ht="25.5" hidden="false" customHeight="true" outlineLevel="0" collapsed="false">
      <c r="A5" s="13" t="s">
        <v>51</v>
      </c>
      <c r="B5" s="14" t="n">
        <f aca="false">SUMIFS(ON_Data!$H$2:$H$180, ON_Data!$F$2:$F$180, $A5, ON_Data!$D$2:$D$180, B$4)</f>
        <v>39071.80955</v>
      </c>
      <c r="C5" s="14" t="n">
        <f aca="false">SUMIFS(ON_Data!$H$2:$H$180, ON_Data!$F$2:$F$180, $A5, ON_Data!$D$2:$D$180, C$4)</f>
        <v>156346.056031</v>
      </c>
      <c r="D5" s="14" t="n">
        <f aca="false">SUMIFS(ON_Data!$H$2:$H$180, ON_Data!$F$2:$F$180, $A5, ON_Data!$D$2:$D$180, D$4)</f>
        <v>132570.011561</v>
      </c>
      <c r="E5" s="14" t="n">
        <f aca="false">SUMIFS(ON_Data!$H$2:$H$180, ON_Data!$F$2:$F$180, $A5, ON_Data!$D$2:$D$180, E$4)</f>
        <v>92894.168295</v>
      </c>
      <c r="F5" s="14" t="n">
        <f aca="false">SUMIFS(ON_Data!$H$2:$H$180, ON_Data!$F$2:$F$180, $A5, ON_Data!$D$2:$D$180, F$4)</f>
        <v>6832.655315194</v>
      </c>
      <c r="G5" s="15" t="n">
        <f aca="false">SUM(B5:F5)</f>
        <v>427714.700752194</v>
      </c>
    </row>
    <row r="6" customFormat="false" ht="25.5" hidden="false" customHeight="true" outlineLevel="0" collapsed="false">
      <c r="A6" s="13" t="s">
        <v>47</v>
      </c>
      <c r="B6" s="14" t="n">
        <f aca="false">SUMIFS(ON_Data!$H$2:$H$180, ON_Data!$F$2:$F$180, $A6, ON_Data!$D$2:$D$180, B$4)</f>
        <v>289252.80864</v>
      </c>
      <c r="C6" s="14" t="n">
        <f aca="false">SUMIFS(ON_Data!$H$2:$H$180, ON_Data!$F$2:$F$180, $A6, ON_Data!$D$2:$D$180, C$4)</f>
        <v>700536.768364</v>
      </c>
      <c r="D6" s="14" t="n">
        <f aca="false">SUMIFS(ON_Data!$H$2:$H$180, ON_Data!$F$2:$F$180, $A6, ON_Data!$D$2:$D$180, D$4)</f>
        <v>655386.80269</v>
      </c>
      <c r="E6" s="14" t="n">
        <f aca="false">SUMIFS(ON_Data!$H$2:$H$180, ON_Data!$F$2:$F$180, $A6, ON_Data!$D$2:$D$180, E$4)</f>
        <v>745943.860268</v>
      </c>
      <c r="F6" s="14" t="n">
        <f aca="false">SUMIFS(ON_Data!$H$2:$H$180, ON_Data!$F$2:$F$180, $A6, ON_Data!$D$2:$D$180, F$4)</f>
        <v>474771.714976</v>
      </c>
      <c r="G6" s="15" t="n">
        <f aca="false">SUM(B6:F6)</f>
        <v>2865891.954938</v>
      </c>
    </row>
    <row r="7" customFormat="false" ht="25.5" hidden="false" customHeight="true" outlineLevel="0" collapsed="false">
      <c r="A7" s="13" t="s">
        <v>45</v>
      </c>
      <c r="B7" s="14" t="n">
        <f aca="false">SUMIFS(ON_Data!$H$2:$H$180, ON_Data!$F$2:$F$180, $A7, ON_Data!$D$2:$D$180, B$4)</f>
        <v>240758.8789</v>
      </c>
      <c r="C7" s="14" t="n">
        <f aca="false">SUMIFS(ON_Data!$H$2:$H$180, ON_Data!$F$2:$F$180, $A7, ON_Data!$D$2:$D$180, C$4)</f>
        <v>229741.445931</v>
      </c>
      <c r="D7" s="14" t="n">
        <f aca="false">SUMIFS(ON_Data!$H$2:$H$180, ON_Data!$F$2:$F$180, $A7, ON_Data!$D$2:$D$180, D$4)</f>
        <v>426314.00864</v>
      </c>
      <c r="E7" s="14" t="n">
        <f aca="false">SUMIFS(ON_Data!$H$2:$H$180, ON_Data!$F$2:$F$180, $A7, ON_Data!$D$2:$D$180, E$4)</f>
        <v>903009.38252</v>
      </c>
      <c r="F7" s="14" t="n">
        <f aca="false">SUMIFS(ON_Data!$H$2:$H$180, ON_Data!$F$2:$F$180, $A7, ON_Data!$D$2:$D$180, F$4)</f>
        <v>1193509.53674</v>
      </c>
      <c r="G7" s="15" t="n">
        <f aca="false">SUM(B7:F7)</f>
        <v>2993333.252731</v>
      </c>
    </row>
    <row r="8" customFormat="false" ht="25.5" hidden="false" customHeight="true" outlineLevel="0" collapsed="false">
      <c r="A8" s="13" t="s">
        <v>49</v>
      </c>
      <c r="B8" s="14" t="n">
        <f aca="false">SUMIFS(ON_Data!$H$2:$H$180, ON_Data!$F$2:$F$180, $A8, ON_Data!$D$2:$D$180, B$4)</f>
        <v>79605.95774</v>
      </c>
      <c r="C8" s="14" t="n">
        <f aca="false">SUMIFS(ON_Data!$H$2:$H$180, ON_Data!$F$2:$F$180, $A8, ON_Data!$D$2:$D$180, C$4)</f>
        <v>145449.169187</v>
      </c>
      <c r="D8" s="14" t="n">
        <f aca="false">SUMIFS(ON_Data!$H$2:$H$180, ON_Data!$F$2:$F$180, $A8, ON_Data!$D$2:$D$180, D$4)</f>
        <v>493741.21661</v>
      </c>
      <c r="E8" s="14" t="n">
        <f aca="false">SUMIFS(ON_Data!$H$2:$H$180, ON_Data!$F$2:$F$180, $A8, ON_Data!$D$2:$D$180, E$4)</f>
        <v>471449.18079</v>
      </c>
      <c r="F8" s="14" t="n">
        <f aca="false">SUMIFS(ON_Data!$H$2:$H$180, ON_Data!$F$2:$F$180, $A8, ON_Data!$D$2:$D$180, F$4)</f>
        <v>153687.4554908</v>
      </c>
      <c r="G8" s="15" t="n">
        <f aca="false">SUM(B8:F8)</f>
        <v>1343932.9798178</v>
      </c>
    </row>
    <row r="9" customFormat="false" ht="25.5" hidden="false" customHeight="true" outlineLevel="0" collapsed="false">
      <c r="A9" s="13" t="s">
        <v>53</v>
      </c>
      <c r="B9" s="14" t="n">
        <f aca="false">SUMIFS(ON_Data!$H$2:$H$180, ON_Data!$F$2:$F$180, $A9, ON_Data!$D$2:$D$180, B$4)</f>
        <v>64765.72414</v>
      </c>
      <c r="C9" s="14" t="n">
        <f aca="false">SUMIFS(ON_Data!$H$2:$H$180, ON_Data!$F$2:$F$180, $A9, ON_Data!$D$2:$D$180, C$4)</f>
        <v>195822.106282</v>
      </c>
      <c r="D9" s="14" t="n">
        <f aca="false">SUMIFS(ON_Data!$H$2:$H$180, ON_Data!$F$2:$F$180, $A9, ON_Data!$D$2:$D$180, D$4)</f>
        <v>189288.712719</v>
      </c>
      <c r="E9" s="14" t="n">
        <f aca="false">SUMIFS(ON_Data!$H$2:$H$180, ON_Data!$F$2:$F$180, $A9, ON_Data!$D$2:$D$180, E$4)</f>
        <v>219450.910632</v>
      </c>
      <c r="F9" s="14" t="n">
        <f aca="false">SUMIFS(ON_Data!$H$2:$H$180, ON_Data!$F$2:$F$180, $A9, ON_Data!$D$2:$D$180, F$4)</f>
        <v>169293.4224803</v>
      </c>
      <c r="G9" s="15" t="n">
        <f aca="false">SUM(B9:F9)</f>
        <v>838620.8762533</v>
      </c>
    </row>
    <row r="10" customFormat="false" ht="25.5" hidden="false" customHeight="true" outlineLevel="0" collapsed="false">
      <c r="A10" s="13" t="s">
        <v>43</v>
      </c>
      <c r="B10" s="14" t="n">
        <f aca="false">SUMIFS(ON_Data!$H$2:$H$180, ON_Data!$F$2:$F$180, $A10, ON_Data!$D$2:$D$180, B$4)</f>
        <v>31926.90788</v>
      </c>
      <c r="C10" s="14" t="n">
        <f aca="false">SUMIFS(ON_Data!$H$2:$H$180, ON_Data!$F$2:$F$180, $A10, ON_Data!$D$2:$D$180, C$4)</f>
        <v>37802.270756</v>
      </c>
      <c r="D10" s="14" t="n">
        <f aca="false">SUMIFS(ON_Data!$H$2:$H$180, ON_Data!$F$2:$F$180, $A10, ON_Data!$D$2:$D$180, D$4)</f>
        <v>105662.506178</v>
      </c>
      <c r="E10" s="14" t="n">
        <f aca="false">SUMIFS(ON_Data!$H$2:$H$180, ON_Data!$F$2:$F$180, $A10, ON_Data!$D$2:$D$180, E$4)</f>
        <v>242518.617266</v>
      </c>
      <c r="F10" s="14" t="n">
        <f aca="false">SUMIFS(ON_Data!$H$2:$H$180, ON_Data!$F$2:$F$180, $A10, ON_Data!$D$2:$D$180, F$4)</f>
        <v>93153.79167579</v>
      </c>
      <c r="G10" s="15" t="n">
        <f aca="false">SUM(B10:F10)</f>
        <v>511064.09375579</v>
      </c>
    </row>
    <row r="11" customFormat="false" ht="25.5" hidden="false" customHeight="true" outlineLevel="0" collapsed="false">
      <c r="A11" s="13" t="s">
        <v>55</v>
      </c>
      <c r="B11" s="14" t="n">
        <f aca="false">SUMIFS(ON_Data!$H$2:$H$180, ON_Data!$F$2:$F$180, $A11, ON_Data!$D$2:$D$180, B$4)</f>
        <v>2786.051755</v>
      </c>
      <c r="C11" s="14" t="n">
        <f aca="false">SUMIFS(ON_Data!$H$2:$H$180, ON_Data!$F$2:$F$180, $A11, ON_Data!$D$2:$D$180, C$4)</f>
        <v>2179.8026956</v>
      </c>
      <c r="D11" s="14" t="n">
        <f aca="false">SUMIFS(ON_Data!$H$2:$H$180, ON_Data!$F$2:$F$180, $A11, ON_Data!$D$2:$D$180, D$4)</f>
        <v>2221.888311876</v>
      </c>
      <c r="E11" s="14" t="n">
        <f aca="false">SUMIFS(ON_Data!$H$2:$H$180, ON_Data!$F$2:$F$180, $A11, ON_Data!$D$2:$D$180, E$4)</f>
        <v>4025.7980273</v>
      </c>
      <c r="F11" s="14" t="n">
        <f aca="false">SUMIFS(ON_Data!$H$2:$H$180, ON_Data!$F$2:$F$180, $A11, ON_Data!$D$2:$D$180, F$4)</f>
        <v>2435.60846096</v>
      </c>
      <c r="G11" s="15" t="n">
        <f aca="false">SUM(B11:F11)</f>
        <v>13649.149250736</v>
      </c>
    </row>
    <row r="12" customFormat="false" ht="25.5" hidden="false" customHeight="true" outlineLevel="0" collapsed="false">
      <c r="A12" s="13" t="s">
        <v>57</v>
      </c>
      <c r="B12" s="14" t="n">
        <f aca="false">SUMIFS(ON_Data!$H$2:$H$180, ON_Data!$F$2:$F$180, $A12, ON_Data!$D$2:$D$180, B$4)</f>
        <v>81.74359438</v>
      </c>
      <c r="C12" s="14" t="n">
        <f aca="false">SUMIFS(ON_Data!$H$2:$H$180, ON_Data!$F$2:$F$180, $A12, ON_Data!$D$2:$D$180, C$4)</f>
        <v>20.48999977</v>
      </c>
      <c r="D12" s="14" t="n">
        <f aca="false">SUMIFS(ON_Data!$H$2:$H$180, ON_Data!$F$2:$F$180, $A12, ON_Data!$D$2:$D$180, D$4)</f>
        <v>475.42999911</v>
      </c>
      <c r="E12" s="14" t="n">
        <f aca="false">SUMIFS(ON_Data!$H$2:$H$180, ON_Data!$F$2:$F$180, $A12, ON_Data!$D$2:$D$180, E$4)</f>
        <v>1141.831538</v>
      </c>
      <c r="F12" s="14" t="n">
        <f aca="false">SUMIFS(ON_Data!$H$2:$H$180, ON_Data!$F$2:$F$180, $A12, ON_Data!$D$2:$D$180, F$4)</f>
        <v>112.56609631</v>
      </c>
      <c r="G12" s="15" t="n">
        <f aca="false">SUM(B12:F12)</f>
        <v>1832.06122757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1" t="s">
        <v>111</v>
      </c>
      <c r="B1" s="1"/>
      <c r="C1" s="1"/>
      <c r="D1" s="1"/>
    </row>
    <row r="2" customFormat="false" ht="15" hidden="false" customHeight="false" outlineLevel="0" collapsed="false">
      <c r="A2" s="2"/>
      <c r="B2" s="2"/>
      <c r="C2" s="2"/>
      <c r="D2" s="2"/>
    </row>
    <row r="4" customFormat="false" ht="25.5" hidden="false" customHeight="true" outlineLevel="0" collapsed="false">
      <c r="A4" s="5" t="s">
        <v>35</v>
      </c>
      <c r="B4" s="5" t="s">
        <v>112</v>
      </c>
      <c r="C4" s="5" t="s">
        <v>113</v>
      </c>
      <c r="D4" s="5" t="s">
        <v>114</v>
      </c>
    </row>
    <row r="5" customFormat="false" ht="25.5" hidden="false" customHeight="true" outlineLevel="0" collapsed="false">
      <c r="A5" s="16" t="s">
        <v>51</v>
      </c>
      <c r="B5" s="14" t="n">
        <f aca="false">SUMIF(ON_Data!$F$2:$F$180, $A5, ON_Data!$H$2:$H$180)</f>
        <v>427714.700752194</v>
      </c>
      <c r="C5" s="17" t="n">
        <f aca="false">COUNTIF(ON_Data!$F$2:$F$180, $A5)</f>
        <v>22</v>
      </c>
      <c r="D5" s="14" t="n">
        <f aca="false">AVERAGEIF(ON_Data!$F$2:$F$180, $A5, ON_Data!$H$2:$H$180)</f>
        <v>19441.5773069179</v>
      </c>
    </row>
    <row r="6" customFormat="false" ht="25.5" hidden="false" customHeight="true" outlineLevel="0" collapsed="false">
      <c r="A6" s="16" t="s">
        <v>47</v>
      </c>
      <c r="B6" s="14" t="n">
        <f aca="false">SUMIF(ON_Data!$F$2:$F$180, $A6, ON_Data!$H$2:$H$180)</f>
        <v>2865891.954938</v>
      </c>
      <c r="C6" s="17" t="n">
        <f aca="false">COUNTIF(ON_Data!$F$2:$F$180, $A6)</f>
        <v>26</v>
      </c>
      <c r="D6" s="14" t="n">
        <f aca="false">AVERAGEIF(ON_Data!$F$2:$F$180, $A6, ON_Data!$H$2:$H$180)</f>
        <v>110226.613651462</v>
      </c>
    </row>
    <row r="7" customFormat="false" ht="25.5" hidden="false" customHeight="true" outlineLevel="0" collapsed="false">
      <c r="A7" s="16" t="s">
        <v>45</v>
      </c>
      <c r="B7" s="14" t="n">
        <f aca="false">SUMIF(ON_Data!$F$2:$F$180, $A7, ON_Data!$H$2:$H$180)</f>
        <v>2993333.252731</v>
      </c>
      <c r="C7" s="17" t="n">
        <f aca="false">COUNTIF(ON_Data!$F$2:$F$180, $A7)</f>
        <v>23</v>
      </c>
      <c r="D7" s="14" t="n">
        <f aca="false">AVERAGEIF(ON_Data!$F$2:$F$180, $A7, ON_Data!$H$2:$H$180)</f>
        <v>130144.924031783</v>
      </c>
    </row>
    <row r="8" customFormat="false" ht="25.5" hidden="false" customHeight="true" outlineLevel="0" collapsed="false">
      <c r="A8" s="16" t="s">
        <v>49</v>
      </c>
      <c r="B8" s="14" t="n">
        <f aca="false">SUMIF(ON_Data!$F$2:$F$180, $A8, ON_Data!$H$2:$H$180)</f>
        <v>1343932.9798178</v>
      </c>
      <c r="C8" s="17" t="n">
        <f aca="false">COUNTIF(ON_Data!$F$2:$F$180, $A8)</f>
        <v>23</v>
      </c>
      <c r="D8" s="14" t="n">
        <f aca="false">AVERAGEIF(ON_Data!$F$2:$F$180, $A8, ON_Data!$H$2:$H$180)</f>
        <v>58431.8686877304</v>
      </c>
    </row>
    <row r="9" customFormat="false" ht="25.5" hidden="false" customHeight="true" outlineLevel="0" collapsed="false">
      <c r="A9" s="16" t="s">
        <v>53</v>
      </c>
      <c r="B9" s="14" t="n">
        <f aca="false">SUMIF(ON_Data!$F$2:$F$180, $A9, ON_Data!$H$2:$H$180)</f>
        <v>838620.8762533</v>
      </c>
      <c r="C9" s="17" t="n">
        <f aca="false">COUNTIF(ON_Data!$F$2:$F$180, $A9)</f>
        <v>25</v>
      </c>
      <c r="D9" s="14" t="n">
        <f aca="false">AVERAGEIF(ON_Data!$F$2:$F$180, $A9, ON_Data!$H$2:$H$180)</f>
        <v>33544.835050132</v>
      </c>
    </row>
    <row r="10" customFormat="false" ht="25.5" hidden="false" customHeight="true" outlineLevel="0" collapsed="false">
      <c r="A10" s="16" t="s">
        <v>43</v>
      </c>
      <c r="B10" s="14" t="n">
        <f aca="false">SUMIF(ON_Data!$F$2:$F$180, $A10, ON_Data!$H$2:$H$180)</f>
        <v>511064.09375579</v>
      </c>
      <c r="C10" s="17" t="n">
        <f aca="false">COUNTIF(ON_Data!$F$2:$F$180, $A10)</f>
        <v>25</v>
      </c>
      <c r="D10" s="14" t="n">
        <f aca="false">AVERAGEIF(ON_Data!$F$2:$F$180, $A10, ON_Data!$H$2:$H$180)</f>
        <v>20442.5637502316</v>
      </c>
    </row>
    <row r="11" customFormat="false" ht="25.5" hidden="false" customHeight="true" outlineLevel="0" collapsed="false">
      <c r="A11" s="16" t="s">
        <v>55</v>
      </c>
      <c r="B11" s="14" t="n">
        <f aca="false">SUMIF(ON_Data!$F$2:$F$180, $A11, ON_Data!$H$2:$H$180)</f>
        <v>13649.149250736</v>
      </c>
      <c r="C11" s="17" t="n">
        <f aca="false">COUNTIF(ON_Data!$F$2:$F$180, $A11)</f>
        <v>22</v>
      </c>
      <c r="D11" s="14" t="n">
        <f aca="false">AVERAGEIF(ON_Data!$F$2:$F$180, $A11, ON_Data!$H$2:$H$180)</f>
        <v>620.415875033455</v>
      </c>
    </row>
    <row r="12" customFormat="false" ht="25.5" hidden="false" customHeight="true" outlineLevel="0" collapsed="false">
      <c r="A12" s="16" t="s">
        <v>57</v>
      </c>
      <c r="B12" s="14" t="n">
        <f aca="false">SUMIF(ON_Data!$F$2:$F$180, $A12, ON_Data!$H$2:$H$180)</f>
        <v>1832.06122757</v>
      </c>
      <c r="C12" s="17" t="n">
        <f aca="false">COUNTIF(ON_Data!$F$2:$F$180, $A12)</f>
        <v>13</v>
      </c>
      <c r="D12" s="14" t="n">
        <f aca="false">AVERAGEIF(ON_Data!$F$2:$F$180, $A12, ON_Data!$H$2:$H$180)</f>
        <v>140.927786736154</v>
      </c>
    </row>
    <row r="15" customFormat="false" ht="15" hidden="false" customHeight="false" outlineLevel="0" collapsed="false">
      <c r="A15" s="18" t="s">
        <v>115</v>
      </c>
    </row>
    <row r="16" customFormat="false" ht="49.5" hidden="false" customHeight="true" outlineLevel="0" collapsed="false">
      <c r="A16" s="2" t="s">
        <v>116</v>
      </c>
      <c r="B16" s="2"/>
      <c r="C16" s="2"/>
      <c r="D16" s="2"/>
    </row>
  </sheetData>
  <mergeCells count="3">
    <mergeCell ref="A1:D1"/>
    <mergeCell ref="A2:D2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117</v>
      </c>
      <c r="B1" s="1"/>
    </row>
    <row r="2" customFormat="false" ht="15" hidden="false" customHeight="false" outlineLevel="0" collapsed="false">
      <c r="A2" s="2"/>
      <c r="B2" s="2"/>
    </row>
    <row r="4" customFormat="false" ht="25.5" hidden="false" customHeight="true" outlineLevel="0" collapsed="false">
      <c r="A4" s="5" t="s">
        <v>118</v>
      </c>
      <c r="B4" s="5" t="s">
        <v>119</v>
      </c>
    </row>
    <row r="5" customFormat="false" ht="69.75" hidden="false" customHeight="true" outlineLevel="0" collapsed="false">
      <c r="A5" s="9" t="s">
        <v>120</v>
      </c>
      <c r="B5" s="9" t="s">
        <v>121</v>
      </c>
    </row>
    <row r="6" customFormat="false" ht="69.75" hidden="false" customHeight="true" outlineLevel="0" collapsed="false">
      <c r="A6" s="9" t="s">
        <v>122</v>
      </c>
      <c r="B6" s="9" t="s">
        <v>123</v>
      </c>
    </row>
    <row r="7" customFormat="false" ht="69.75" hidden="false" customHeight="true" outlineLevel="0" collapsed="false">
      <c r="A7" s="9" t="s">
        <v>124</v>
      </c>
      <c r="B7" s="9" t="s">
        <v>125</v>
      </c>
    </row>
    <row r="8" customFormat="false" ht="69.75" hidden="false" customHeight="true" outlineLevel="0" collapsed="false">
      <c r="A8" s="9" t="s">
        <v>126</v>
      </c>
      <c r="B8" s="9" t="s">
        <v>127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2026-06-03T03:15:37Z</dcterms:created>
  <dc:creator>openpyxl</dc:creator>
  <dc:description/>
  <dc:language>en-US</dc:language>
  <cp:lastModifiedBy/>
  <dcterms:modified xsi:type="dcterms:W3CDTF">2026-06-03T03:15:38Z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